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6.NMR_hydrolysis_pH_dependence/"/>
    </mc:Choice>
  </mc:AlternateContent>
  <xr:revisionPtr revIDLastSave="0" documentId="13_ncr:1_{EA576592-AD8A-8242-83D5-9D34F2FAB5A8}" xr6:coauthVersionLast="47" xr6:coauthVersionMax="47" xr10:uidLastSave="{00000000-0000-0000-0000-000000000000}"/>
  <bookViews>
    <workbookView xWindow="0" yWindow="500" windowWidth="38400" windowHeight="20020" xr2:uid="{7732582B-BFA8-9F44-B166-C41D2D849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M4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E4" i="1"/>
  <c r="E5" i="1"/>
  <c r="E6" i="1"/>
  <c r="E7" i="1"/>
  <c r="E3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<sst xmlns="http://schemas.openxmlformats.org/spreadsheetml/2006/main" count="10" uniqueCount="10">
  <si>
    <t>pH</t>
  </si>
  <si>
    <t>x10^5</t>
  </si>
  <si>
    <t>`-LOG(khydr)</t>
  </si>
  <si>
    <r>
      <t>k</t>
    </r>
    <r>
      <rPr>
        <vertAlign val="subscript"/>
        <sz val="12"/>
        <color theme="1"/>
        <rFont val="Aptos Narrow (Body)"/>
      </rPr>
      <t>hydr</t>
    </r>
    <r>
      <rPr>
        <sz val="12"/>
        <color theme="1"/>
        <rFont val="Aptos Narrow"/>
        <family val="2"/>
        <scheme val="minor"/>
      </rPr>
      <t xml:space="preserve"> (s</t>
    </r>
    <r>
      <rPr>
        <vertAlign val="superscript"/>
        <sz val="12"/>
        <color theme="1"/>
        <rFont val="Aptos Narrow (Body)"/>
      </rPr>
      <t>-1</t>
    </r>
    <r>
      <rPr>
        <sz val="12"/>
        <color theme="1"/>
        <rFont val="Aptos Narrow"/>
        <family val="2"/>
        <scheme val="minor"/>
      </rPr>
      <t>)</t>
    </r>
  </si>
  <si>
    <t>kadd</t>
  </si>
  <si>
    <t>pH 6.04</t>
  </si>
  <si>
    <t>pH 6.207</t>
  </si>
  <si>
    <t>pH 6.504</t>
  </si>
  <si>
    <t>pH 6.671</t>
  </si>
  <si>
    <t>pH 6.986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</si>
</sst>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vertAlign val="super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Sheet1!$B$3:$B$7</c:f>
              <c:numCache>
                <c:formatCode>General</c:formatCode>
                <c:ptCount val="5"/>
                <c:pt idx="0">
                  <c:v>6.04</c:v>
                </c:pt>
                <c:pt idx="1">
                  <c:v>6.2069999999999999</c:v>
                </c:pt>
                <c:pt idx="2">
                  <c:v>6.5039999999999996</c:v>
                </c:pt>
                <c:pt idx="3">
                  <c:v>6.6710000000000003</c:v>
                </c:pt>
                <c:pt idx="4">
                  <c:v>6.9859999999999998</c:v>
                </c:pt>
              </c:numCache>
            </c:numRef>
          </c:xVal>
          <c:yVal>
            <c:numRef>
              <c:f>Sheet1!$E$3:$E$7</c:f>
              <c:numCache>
                <c:formatCode>General</c:formatCode>
                <c:ptCount val="5"/>
                <c:pt idx="0">
                  <c:v>8.6548300000000005</c:v>
                </c:pt>
                <c:pt idx="1">
                  <c:v>8.3230699999999995</c:v>
                </c:pt>
                <c:pt idx="2">
                  <c:v>7.8139699999999994</c:v>
                </c:pt>
                <c:pt idx="3">
                  <c:v>7.6198800000000002</c:v>
                </c:pt>
                <c:pt idx="4">
                  <c:v>7.4538000000000002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7-0346-9F04-5E23C218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024800"/>
        <c:axId val="1608136688"/>
      </c:scatterChart>
      <c:valAx>
        <c:axId val="160802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Buffer 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136688"/>
        <c:crosses val="autoZero"/>
        <c:crossBetween val="midCat"/>
      </c:valAx>
      <c:valAx>
        <c:axId val="1608136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baseline="0">
                    <a:solidFill>
                      <a:schemeClr val="tx1"/>
                    </a:solidFill>
                    <a:effectLst/>
                  </a:rPr>
                  <a:t>k</a:t>
                </a:r>
                <a:r>
                  <a:rPr lang="en-US" sz="1100" b="0" i="0" u="none" strike="noStrike" baseline="-25000">
                    <a:solidFill>
                      <a:schemeClr val="tx1"/>
                    </a:solidFill>
                    <a:effectLst/>
                  </a:rPr>
                  <a:t>hydr</a:t>
                </a:r>
                <a:r>
                  <a:rPr lang="en-US" sz="1100" b="0" i="0" u="none" strike="noStrike" baseline="0">
                    <a:solidFill>
                      <a:schemeClr val="tx1"/>
                    </a:solidFill>
                    <a:effectLst/>
                  </a:rPr>
                  <a:t> (s</a:t>
                </a:r>
                <a:r>
                  <a:rPr lang="en-US" sz="1100" b="0" i="0" u="none" strike="noStrike" baseline="30000">
                    <a:solidFill>
                      <a:schemeClr val="tx1"/>
                    </a:solidFill>
                    <a:effectLst/>
                  </a:rPr>
                  <a:t>-1</a:t>
                </a:r>
                <a:r>
                  <a:rPr lang="en-US" sz="1100" b="0" i="0" u="none" strike="noStrike" baseline="0">
                    <a:solidFill>
                      <a:schemeClr val="tx1"/>
                    </a:solidFill>
                    <a:effectLst/>
                  </a:rPr>
                  <a:t>)</a:t>
                </a:r>
                <a:r>
                  <a:rPr lang="en-US" sz="1100" b="0" i="0" u="none" strike="noStrike" baseline="0">
                    <a:solidFill>
                      <a:schemeClr val="tx1"/>
                    </a:solidFill>
                  </a:rPr>
                  <a:t> </a:t>
                </a:r>
                <a:endParaRPr lang="en-US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2480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 6.04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Sheet1!$H$4:$H$73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Sheet1!$I$4:$I$73</c:f>
              <c:numCache>
                <c:formatCode>General</c:formatCode>
                <c:ptCount val="70"/>
                <c:pt idx="0">
                  <c:v>0</c:v>
                </c:pt>
                <c:pt idx="1">
                  <c:v>9.5337403006042765E-3</c:v>
                </c:pt>
                <c:pt idx="2">
                  <c:v>1.8197128068461299E-2</c:v>
                </c:pt>
                <c:pt idx="3">
                  <c:v>2.6075615731582458E-2</c:v>
                </c:pt>
                <c:pt idx="4">
                  <c:v>3.324531956340826E-2</c:v>
                </c:pt>
                <c:pt idx="5">
                  <c:v>3.9774184420278136E-2</c:v>
                </c:pt>
                <c:pt idx="6">
                  <c:v>4.5722981962228237E-2</c:v>
                </c:pt>
                <c:pt idx="7">
                  <c:v>5.1146169179348222E-2</c:v>
                </c:pt>
                <c:pt idx="8">
                  <c:v>5.6092629288003626E-2</c:v>
                </c:pt>
                <c:pt idx="9">
                  <c:v>6.0606313216408969E-2</c:v>
                </c:pt>
                <c:pt idx="10">
                  <c:v>6.4726796779790985E-2</c:v>
                </c:pt>
                <c:pt idx="11">
                  <c:v>6.848976610512203E-2</c:v>
                </c:pt>
                <c:pt idx="12">
                  <c:v>7.1927441789031543E-2</c:v>
                </c:pt>
                <c:pt idx="13">
                  <c:v>7.5068950569243897E-2</c:v>
                </c:pt>
                <c:pt idx="14">
                  <c:v>7.7940651887866363E-2</c:v>
                </c:pt>
                <c:pt idx="15">
                  <c:v>8.0566425566909072E-2</c:v>
                </c:pt>
                <c:pt idx="16">
                  <c:v>8.2967925856946123E-2</c:v>
                </c:pt>
                <c:pt idx="17">
                  <c:v>8.5164806322275632E-2</c:v>
                </c:pt>
                <c:pt idx="18">
                  <c:v>8.7174919360924363E-2</c:v>
                </c:pt>
                <c:pt idx="19">
                  <c:v>8.9014493601664468E-2</c:v>
                </c:pt>
                <c:pt idx="20">
                  <c:v>9.0698291953666077E-2</c:v>
                </c:pt>
                <c:pt idx="21">
                  <c:v>9.2239752691917087E-2</c:v>
                </c:pt>
                <c:pt idx="22">
                  <c:v>9.365111563040085E-2</c:v>
                </c:pt>
                <c:pt idx="23">
                  <c:v>9.4943535154848435E-2</c:v>
                </c:pt>
                <c:pt idx="24">
                  <c:v>9.6127181649181881E-2</c:v>
                </c:pt>
                <c:pt idx="25">
                  <c:v>9.7211332647528015E-2</c:v>
                </c:pt>
                <c:pt idx="26">
                  <c:v>9.8204454871171132E-2</c:v>
                </c:pt>
                <c:pt idx="27">
                  <c:v>9.9114278162245495E-2</c:v>
                </c:pt>
                <c:pt idx="28">
                  <c:v>9.9947862199411652E-2</c:v>
                </c:pt>
                <c:pt idx="29">
                  <c:v>0.10071165677193794</c:v>
                </c:pt>
                <c:pt idx="30">
                  <c:v>0.10141155629478571</c:v>
                </c:pt>
                <c:pt idx="31">
                  <c:v>0.10205294916620877</c:v>
                </c:pt>
                <c:pt idx="32">
                  <c:v>0.10264076249910259</c:v>
                </c:pt>
                <c:pt idx="33">
                  <c:v>0.10317950269630327</c:v>
                </c:pt>
                <c:pt idx="34">
                  <c:v>0.1036732922868715</c:v>
                </c:pt>
                <c:pt idx="35">
                  <c:v>0.10412590339399741</c:v>
                </c:pt>
                <c:pt idx="36">
                  <c:v>0.10454078816455203</c:v>
                </c:pt>
                <c:pt idx="37">
                  <c:v>0.10492110645470165</c:v>
                </c:pt>
                <c:pt idx="38">
                  <c:v>0.10526975103468994</c:v>
                </c:pt>
                <c:pt idx="39">
                  <c:v>0.10558937054831274</c:v>
                </c:pt>
                <c:pt idx="40">
                  <c:v>0.10588239043825465</c:v>
                </c:pt>
                <c:pt idx="41">
                  <c:v>0.10615103202691067</c:v>
                </c:pt>
                <c:pt idx="42">
                  <c:v>0.1063973299232075</c:v>
                </c:pt>
                <c:pt idx="43">
                  <c:v>0.10662314790897287</c:v>
                </c:pt>
                <c:pt idx="44">
                  <c:v>0.10683019344329114</c:v>
                </c:pt>
                <c:pt idx="45">
                  <c:v>0.10702003090981771</c:v>
                </c:pt>
                <c:pt idx="46">
                  <c:v>0.107194093719994</c:v>
                </c:pt>
                <c:pt idx="47">
                  <c:v>0.10735369537434003</c:v>
                </c:pt>
                <c:pt idx="48">
                  <c:v>0.10750003957435783</c:v>
                </c:pt>
                <c:pt idx="49">
                  <c:v>0.1076342294689201</c:v>
                </c:pt>
                <c:pt idx="50">
                  <c:v>0.10775727611124009</c:v>
                </c:pt>
                <c:pt idx="51">
                  <c:v>0.10787010619551263</c:v>
                </c:pt>
                <c:pt idx="52">
                  <c:v>0.10797356913600864</c:v>
                </c:pt>
                <c:pt idx="53">
                  <c:v>0.1080684435457101</c:v>
                </c:pt>
                <c:pt idx="54">
                  <c:v>0.10815544316642678</c:v>
                </c:pt>
                <c:pt idx="55">
                  <c:v>0.10823522229768812</c:v>
                </c:pt>
                <c:pt idx="56">
                  <c:v>0.10830838076749061</c:v>
                </c:pt>
                <c:pt idx="57">
                  <c:v>0.10837546848416602</c:v>
                </c:pt>
                <c:pt idx="58">
                  <c:v>0.10843698960517623</c:v>
                </c:pt>
                <c:pt idx="59">
                  <c:v>0.10849340635550164</c:v>
                </c:pt>
                <c:pt idx="60">
                  <c:v>0.1085451425254339</c:v>
                </c:pt>
                <c:pt idx="61">
                  <c:v>0.10859258667499383</c:v>
                </c:pt>
                <c:pt idx="62">
                  <c:v>0.10863609506983551</c:v>
                </c:pt>
                <c:pt idx="63">
                  <c:v>0.108675994371351</c:v>
                </c:pt>
                <c:pt idx="64">
                  <c:v>0.10871258410173357</c:v>
                </c:pt>
                <c:pt idx="65">
                  <c:v>0.10874613890297857</c:v>
                </c:pt>
                <c:pt idx="66">
                  <c:v>0.10877691060717298</c:v>
                </c:pt>
                <c:pt idx="67">
                  <c:v>0.1088051301339471</c:v>
                </c:pt>
                <c:pt idx="68">
                  <c:v>0.10883100922960642</c:v>
                </c:pt>
                <c:pt idx="69">
                  <c:v>0.10885474206123147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0B-7E46-8B37-DB83F6A3B2FB}"/>
            </c:ext>
          </c:extLst>
        </c:ser>
        <c:ser>
          <c:idx val="1"/>
          <c:order val="1"/>
          <c:tx>
            <c:v>pH 6.21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Sheet1!$H$4:$H$73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Sheet1!$J$4:$J$73</c:f>
              <c:numCache>
                <c:formatCode>General</c:formatCode>
                <c:ptCount val="70"/>
                <c:pt idx="0">
                  <c:v>0</c:v>
                </c:pt>
                <c:pt idx="1">
                  <c:v>9.5492691629104343E-3</c:v>
                </c:pt>
                <c:pt idx="2">
                  <c:v>1.825534644690463E-2</c:v>
                </c:pt>
                <c:pt idx="3">
                  <c:v>2.6198527160174345E-2</c:v>
                </c:pt>
                <c:pt idx="4">
                  <c:v>3.3450570457417506E-2</c:v>
                </c:pt>
                <c:pt idx="5">
                  <c:v>4.0075738072262168E-2</c:v>
                </c:pt>
                <c:pt idx="6">
                  <c:v>4.6131688083039801E-2</c:v>
                </c:pt>
                <c:pt idx="7">
                  <c:v>5.1670246500471695E-2</c:v>
                </c:pt>
                <c:pt idx="8">
                  <c:v>5.6738075522184017E-2</c:v>
                </c:pt>
                <c:pt idx="9">
                  <c:v>6.1377254093699873E-2</c:v>
                </c:pt>
                <c:pt idx="10">
                  <c:v>6.5625783800663973E-2</c:v>
                </c:pt>
                <c:pt idx="11">
                  <c:v>6.9518030976095879E-2</c:v>
                </c:pt>
                <c:pt idx="12">
                  <c:v>7.308511414741814E-2</c:v>
                </c:pt>
                <c:pt idx="13">
                  <c:v>7.6355244497844588E-2</c:v>
                </c:pt>
                <c:pt idx="14">
                  <c:v>7.9354025817296669E-2</c:v>
                </c:pt>
                <c:pt idx="15">
                  <c:v>8.2104719422813277E-2</c:v>
                </c:pt>
                <c:pt idx="16">
                  <c:v>8.4628478700124687E-2</c:v>
                </c:pt>
                <c:pt idx="17">
                  <c:v>8.6944557226595665E-2</c:v>
                </c:pt>
                <c:pt idx="18">
                  <c:v>8.9070493856813204E-2</c:v>
                </c:pt>
                <c:pt idx="19">
                  <c:v>9.1022277665996687E-2</c:v>
                </c:pt>
                <c:pt idx="20">
                  <c:v>9.2814495237108385E-2</c:v>
                </c:pt>
                <c:pt idx="21">
                  <c:v>9.4460462431959713E-2</c:v>
                </c:pt>
                <c:pt idx="22">
                  <c:v>9.5972342494040741E-2</c:v>
                </c:pt>
                <c:pt idx="23">
                  <c:v>9.7361252082448391E-2</c:v>
                </c:pt>
                <c:pt idx="24">
                  <c:v>9.8637356624924011E-2</c:v>
                </c:pt>
                <c:pt idx="25">
                  <c:v>9.9809956197662753E-2</c:v>
                </c:pt>
                <c:pt idx="26">
                  <c:v>0.10088756298527146</c:v>
                </c:pt>
                <c:pt idx="27">
                  <c:v>0.1018779712419442</c:v>
                </c:pt>
                <c:pt idx="28">
                  <c:v>0.10278832056116671</c:v>
                </c:pt>
                <c:pt idx="29">
                  <c:v>0.10362515316322618</c:v>
                </c:pt>
                <c:pt idx="30">
                  <c:v>0.10439446582509382</c:v>
                </c:pt>
                <c:pt idx="31">
                  <c:v>0.10510175700389746</c:v>
                </c:pt>
                <c:pt idx="32">
                  <c:v>0.10575206964151351</c:v>
                </c:pt>
                <c:pt idx="33">
                  <c:v>0.10635003008239874</c:v>
                </c:pt>
                <c:pt idx="34">
                  <c:v>0.10689988348844415</c:v>
                </c:pt>
                <c:pt idx="35">
                  <c:v>0.10740552609238929</c:v>
                </c:pt>
                <c:pt idx="36">
                  <c:v>0.10787053459430518</c:v>
                </c:pt>
                <c:pt idx="37">
                  <c:v>0.10829819297315479</c:v>
                </c:pt>
                <c:pt idx="38">
                  <c:v>0.10869151695682133</c:v>
                </c:pt>
                <c:pt idx="39">
                  <c:v>0.10905327636876938</c:v>
                </c:pt>
                <c:pt idx="40">
                  <c:v>0.10938601554719796</c:v>
                </c:pt>
                <c:pt idx="41">
                  <c:v>0.10969207201279763</c:v>
                </c:pt>
                <c:pt idx="42">
                  <c:v>0.10997359354369973</c:v>
                </c:pt>
                <c:pt idx="43">
                  <c:v>0.11023255380061991</c:v>
                </c:pt>
                <c:pt idx="44">
                  <c:v>0.11047076663132327</c:v>
                </c:pt>
                <c:pt idx="45">
                  <c:v>0.11068989917114891</c:v>
                </c:pt>
                <c:pt idx="46">
                  <c:v>0.11089148384526026</c:v>
                </c:pt>
                <c:pt idx="47">
                  <c:v>0.1110769293683721</c:v>
                </c:pt>
                <c:pt idx="48">
                  <c:v>0.11124753082881267</c:v>
                </c:pt>
                <c:pt idx="49">
                  <c:v>0.11140447893578909</c:v>
                </c:pt>
                <c:pt idx="50">
                  <c:v>0.11154886850153845</c:v>
                </c:pt>
                <c:pt idx="51">
                  <c:v>0.11168170622357065</c:v>
                </c:pt>
                <c:pt idx="52">
                  <c:v>0.11180391782636789</c:v>
                </c:pt>
                <c:pt idx="53">
                  <c:v>0.11191635461662996</c:v>
                </c:pt>
                <c:pt idx="54">
                  <c:v>0.11201979950137886</c:v>
                </c:pt>
                <c:pt idx="55">
                  <c:v>0.11211497251392055</c:v>
                </c:pt>
                <c:pt idx="56">
                  <c:v>0.11220253588873919</c:v>
                </c:pt>
                <c:pt idx="57">
                  <c:v>0.11228309872284825</c:v>
                </c:pt>
                <c:pt idx="58">
                  <c:v>0.11235722125789538</c:v>
                </c:pt>
                <c:pt idx="59">
                  <c:v>0.11242541881438095</c:v>
                </c:pt>
                <c:pt idx="60">
                  <c:v>0.11248816540668249</c:v>
                </c:pt>
                <c:pt idx="61">
                  <c:v>0.11254589706514539</c:v>
                </c:pt>
                <c:pt idx="62">
                  <c:v>0.11259901488928348</c:v>
                </c:pt>
                <c:pt idx="63">
                  <c:v>0.11264788785411561</c:v>
                </c:pt>
                <c:pt idx="64">
                  <c:v>0.11269285538981788</c:v>
                </c:pt>
                <c:pt idx="65">
                  <c:v>0.11273422975318825</c:v>
                </c:pt>
                <c:pt idx="66">
                  <c:v>0.11277229820788615</c:v>
                </c:pt>
                <c:pt idx="67">
                  <c:v>0.11280732502899737</c:v>
                </c:pt>
                <c:pt idx="68">
                  <c:v>0.11283955334619566</c:v>
                </c:pt>
                <c:pt idx="69">
                  <c:v>0.1128692068385917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B-7E46-8B37-DB83F6A3B2FB}"/>
            </c:ext>
          </c:extLst>
        </c:ser>
        <c:ser>
          <c:idx val="2"/>
          <c:order val="2"/>
          <c:tx>
            <c:v>pH 6.50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Sheet1!$H$4:$H$73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Sheet1!$K$4:$K$73</c:f>
              <c:numCache>
                <c:formatCode>General</c:formatCode>
                <c:ptCount val="70"/>
                <c:pt idx="0">
                  <c:v>0</c:v>
                </c:pt>
                <c:pt idx="1">
                  <c:v>9.5731648228637445E-3</c:v>
                </c:pt>
                <c:pt idx="2">
                  <c:v>1.8345173581043261E-2</c:v>
                </c:pt>
                <c:pt idx="3">
                  <c:v>2.6388669008525767E-2</c:v>
                </c:pt>
                <c:pt idx="4">
                  <c:v>3.3768902531431833E-2</c:v>
                </c:pt>
                <c:pt idx="5">
                  <c:v>4.0544598304471435E-2</c:v>
                </c:pt>
                <c:pt idx="6">
                  <c:v>4.6768701280110236E-2</c:v>
                </c:pt>
                <c:pt idx="7">
                  <c:v>5.2489026832714614E-2</c:v>
                </c:pt>
                <c:pt idx="8">
                  <c:v>5.7748826546885401E-2</c:v>
                </c:pt>
                <c:pt idx="9">
                  <c:v>6.2587282390171972E-2</c:v>
                </c:pt>
                <c:pt idx="10">
                  <c:v>6.703993952438958E-2</c:v>
                </c:pt>
                <c:pt idx="11">
                  <c:v>7.1139086386592498E-2</c:v>
                </c:pt>
                <c:pt idx="12">
                  <c:v>7.4914089326315048E-2</c:v>
                </c:pt>
                <c:pt idx="13">
                  <c:v>7.8391687968658363E-2</c:v>
                </c:pt>
                <c:pt idx="14">
                  <c:v>8.1596256541933254E-2</c:v>
                </c:pt>
                <c:pt idx="15">
                  <c:v>8.4550035630555298E-2</c:v>
                </c:pt>
                <c:pt idx="16">
                  <c:v>8.7273338161806158E-2</c:v>
                </c:pt>
                <c:pt idx="17">
                  <c:v>8.9784732887013718E-2</c:v>
                </c:pt>
                <c:pt idx="18">
                  <c:v>9.2101208155840997E-2</c:v>
                </c:pt>
                <c:pt idx="19">
                  <c:v>9.4238318392130482E-2</c:v>
                </c:pt>
                <c:pt idx="20">
                  <c:v>9.6210315349169129E-2</c:v>
                </c:pt>
                <c:pt idx="21">
                  <c:v>9.8030265941501105E-2</c:v>
                </c:pt>
                <c:pt idx="22">
                  <c:v>9.9710158211418598E-2</c:v>
                </c:pt>
                <c:pt idx="23">
                  <c:v>0.10126099678430078</c:v>
                </c:pt>
                <c:pt idx="24">
                  <c:v>0.10269288899250861</c:v>
                </c:pt>
                <c:pt idx="25">
                  <c:v>0.10401512269795232</c:v>
                </c:pt>
                <c:pt idx="26">
                  <c:v>0.10523623671489568</c:v>
                </c:pt>
                <c:pt idx="27">
                  <c:v>0.10636408462383018</c:v>
                </c:pt>
                <c:pt idx="28">
                  <c:v>0.10740589267166489</c:v>
                </c:pt>
                <c:pt idx="29">
                  <c:v>0.10836831237076894</c:v>
                </c:pt>
                <c:pt idx="30">
                  <c:v>0.10925746833769379</c:v>
                </c:pt>
                <c:pt idx="31">
                  <c:v>0.11007900185007857</c:v>
                </c:pt>
                <c:pt idx="32">
                  <c:v>0.11083811054597548</c:v>
                </c:pt>
                <c:pt idx="33">
                  <c:v>0.11153958464245961</c:v>
                </c:pt>
                <c:pt idx="34">
                  <c:v>0.11218784000897053</c:v>
                </c:pt>
                <c:pt idx="35">
                  <c:v>0.1127869483945213</c:v>
                </c:pt>
                <c:pt idx="36">
                  <c:v>0.11334066507603013</c:v>
                </c:pt>
                <c:pt idx="37">
                  <c:v>0.11385245416696899</c:v>
                </c:pt>
                <c:pt idx="38">
                  <c:v>0.11432551180078121</c:v>
                </c:pt>
                <c:pt idx="39">
                  <c:v>0.11476278738165857</c:v>
                </c:pt>
                <c:pt idx="40">
                  <c:v>0.11516700307591365</c:v>
                </c:pt>
                <c:pt idx="41">
                  <c:v>0.11554067170001747</c:v>
                </c:pt>
                <c:pt idx="42">
                  <c:v>0.11588611314611419</c:v>
                </c:pt>
                <c:pt idx="43">
                  <c:v>0.11620546947224542</c:v>
                </c:pt>
                <c:pt idx="44">
                  <c:v>0.11650071877239676</c:v>
                </c:pt>
                <c:pt idx="45">
                  <c:v>0.11677368793066012</c:v>
                </c:pt>
                <c:pt idx="46">
                  <c:v>0.11702606435411023</c:v>
                </c:pt>
                <c:pt idx="47">
                  <c:v>0.1172594067703131</c:v>
                </c:pt>
                <c:pt idx="48">
                  <c:v>0.11747515516757878</c:v>
                </c:pt>
                <c:pt idx="49">
                  <c:v>0.11767463994905769</c:v>
                </c:pt>
                <c:pt idx="50">
                  <c:v>0.11785909036545883</c:v>
                </c:pt>
                <c:pt idx="51">
                  <c:v>0.11802964228546686</c:v>
                </c:pt>
                <c:pt idx="52">
                  <c:v>0.11818734535778486</c:v>
                </c:pt>
                <c:pt idx="53">
                  <c:v>0.11833316961407103</c:v>
                </c:pt>
                <c:pt idx="54">
                  <c:v>0.11846801155781628</c:v>
                </c:pt>
                <c:pt idx="55">
                  <c:v>0.11859269978038589</c:v>
                </c:pt>
                <c:pt idx="56">
                  <c:v>0.1187080001419677</c:v>
                </c:pt>
                <c:pt idx="57">
                  <c:v>0.11881462055201908</c:v>
                </c:pt>
                <c:pt idx="58">
                  <c:v>0.1189132153809217</c:v>
                </c:pt>
                <c:pt idx="59">
                  <c:v>0.11900438953194248</c:v>
                </c:pt>
                <c:pt idx="60">
                  <c:v>0.11908870220020762</c:v>
                </c:pt>
                <c:pt idx="61">
                  <c:v>0.11916667034322082</c:v>
                </c:pt>
                <c:pt idx="62">
                  <c:v>0.11923877188546361</c:v>
                </c:pt>
                <c:pt idx="63">
                  <c:v>0.11930544867780168</c:v>
                </c:pt>
                <c:pt idx="64">
                  <c:v>0.11936710923075211</c:v>
                </c:pt>
                <c:pt idx="65">
                  <c:v>0.11942413123914619</c:v>
                </c:pt>
                <c:pt idx="66">
                  <c:v>0.11947686391432488</c:v>
                </c:pt>
                <c:pt idx="67">
                  <c:v>0.11952563013872697</c:v>
                </c:pt>
                <c:pt idx="68">
                  <c:v>0.11957072845655148</c:v>
                </c:pt>
                <c:pt idx="69">
                  <c:v>0.11961243491310569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B-7E46-8B37-DB83F6A3B2FB}"/>
            </c:ext>
          </c:extLst>
        </c:ser>
        <c:ser>
          <c:idx val="3"/>
          <c:order val="3"/>
          <c:tx>
            <c:v>pH 6.67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Sheet1!$H$4:$H$73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Sheet1!$L$4:$L$73</c:f>
              <c:numCache>
                <c:formatCode>General</c:formatCode>
                <c:ptCount val="70"/>
                <c:pt idx="0">
                  <c:v>0</c:v>
                </c:pt>
                <c:pt idx="1">
                  <c:v>9.5822959185647427E-3</c:v>
                </c:pt>
                <c:pt idx="2">
                  <c:v>1.837957594031403E-2</c:v>
                </c:pt>
                <c:pt idx="3">
                  <c:v>2.6461650052617691E-2</c:v>
                </c:pt>
                <c:pt idx="4">
                  <c:v>3.3891347491488366E-2</c:v>
                </c:pt>
                <c:pt idx="5">
                  <c:v>4.0725319859755915E-2</c:v>
                </c:pt>
                <c:pt idx="6">
                  <c:v>4.7014738123748567E-2</c:v>
                </c:pt>
                <c:pt idx="7">
                  <c:v>5.2805899270986889E-2</c:v>
                </c:pt>
                <c:pt idx="8">
                  <c:v>5.8140755829323654E-2</c:v>
                </c:pt>
                <c:pt idx="9">
                  <c:v>6.3057379323024687E-2</c:v>
                </c:pt>
                <c:pt idx="10">
                  <c:v>6.7590366986764461E-2</c:v>
                </c:pt>
                <c:pt idx="11">
                  <c:v>7.177119960521916E-2</c:v>
                </c:pt>
                <c:pt idx="12">
                  <c:v>7.5628557138432417E-2</c:v>
                </c:pt>
                <c:pt idx="13">
                  <c:v>7.9188597786830517E-2</c:v>
                </c:pt>
                <c:pt idx="14">
                  <c:v>8.2475205308714772E-2</c:v>
                </c:pt>
                <c:pt idx="15">
                  <c:v>8.5510208698132528E-2</c:v>
                </c:pt>
                <c:pt idx="16">
                  <c:v>8.831357773857329E-2</c:v>
                </c:pt>
                <c:pt idx="17">
                  <c:v>9.090359744868759E-2</c:v>
                </c:pt>
                <c:pt idx="18">
                  <c:v>9.3297024014413199E-2</c:v>
                </c:pt>
                <c:pt idx="19">
                  <c:v>9.5509224444614071E-2</c:v>
                </c:pt>
                <c:pt idx="20">
                  <c:v>9.7554301883959305E-2</c:v>
                </c:pt>
                <c:pt idx="21">
                  <c:v>9.9445208258546303E-2</c:v>
                </c:pt>
                <c:pt idx="22">
                  <c:v>0.10119384570945056</c:v>
                </c:pt>
                <c:pt idx="23">
                  <c:v>0.10281115808097063</c:v>
                </c:pt>
                <c:pt idx="24">
                  <c:v>0.10430721356884265</c:v>
                </c:pt>
                <c:pt idx="25">
                  <c:v>0.10569127949495538</c:v>
                </c:pt>
                <c:pt idx="26">
                  <c:v>0.10697189005564856</c:v>
                </c:pt>
                <c:pt idx="27">
                  <c:v>0.10815690778760534</c:v>
                </c:pt>
                <c:pt idx="28">
                  <c:v>0.10925357940622293</c:v>
                </c:pt>
                <c:pt idx="29">
                  <c:v>0.11026858659410588</c:v>
                </c:pt>
                <c:pt idx="30">
                  <c:v>0.11120809225025607</c:v>
                </c:pt>
                <c:pt idx="31">
                  <c:v>0.11207778265216339</c:v>
                </c:pt>
                <c:pt idx="32">
                  <c:v>0.11288290593210004</c:v>
                </c:pt>
                <c:pt idx="33">
                  <c:v>0.11362830722444506</c:v>
                </c:pt>
                <c:pt idx="34">
                  <c:v>0.11431846080192265</c:v>
                </c:pt>
                <c:pt idx="35">
                  <c:v>0.11495749948446488</c:v>
                </c:pt>
                <c:pt idx="36">
                  <c:v>0.11554924157437796</c:v>
                </c:pt>
                <c:pt idx="37">
                  <c:v>0.11609721554502495</c:v>
                </c:pt>
                <c:pt idx="38">
                  <c:v>0.1166046826868945</c:v>
                </c:pt>
                <c:pt idx="39">
                  <c:v>0.11707465789426719</c:v>
                </c:pt>
                <c:pt idx="40">
                  <c:v>0.1175099287574064</c:v>
                </c:pt>
                <c:pt idx="41">
                  <c:v>0.11791307310895549</c:v>
                </c:pt>
                <c:pt idx="42">
                  <c:v>0.11828647515878887</c:v>
                </c:pt>
                <c:pt idx="43">
                  <c:v>0.11863234033869918</c:v>
                </c:pt>
                <c:pt idx="44">
                  <c:v>0.11895270896682675</c:v>
                </c:pt>
                <c:pt idx="45">
                  <c:v>0.11924946883146992</c:v>
                </c:pt>
                <c:pt idx="46">
                  <c:v>0.11952436678473344</c:v>
                </c:pt>
                <c:pt idx="47">
                  <c:v>0.11977901942822222</c:v>
                </c:pt>
                <c:pt idx="48">
                  <c:v>0.12001492296558647</c:v>
                </c:pt>
                <c:pt idx="49">
                  <c:v>0.12023346229006127</c:v>
                </c:pt>
                <c:pt idx="50">
                  <c:v>0.12043591936913622</c:v>
                </c:pt>
                <c:pt idx="51">
                  <c:v>0.12062348098307396</c:v>
                </c:pt>
                <c:pt idx="52">
                  <c:v>0.12079724586909824</c:v>
                </c:pt>
                <c:pt idx="53">
                  <c:v>0.1209582313186367</c:v>
                </c:pt>
                <c:pt idx="54">
                  <c:v>0.1211073792709918</c:v>
                </c:pt>
                <c:pt idx="55">
                  <c:v>0.12124556194316427</c:v>
                </c:pt>
                <c:pt idx="56">
                  <c:v>0.12137358703224377</c:v>
                </c:pt>
                <c:pt idx="57">
                  <c:v>0.12149220252377158</c:v>
                </c:pt>
                <c:pt idx="58">
                  <c:v>0.12160210113673553</c:v>
                </c:pt>
                <c:pt idx="59">
                  <c:v>0.12170392443336198</c:v>
                </c:pt>
                <c:pt idx="60">
                  <c:v>0.12179826661958471</c:v>
                </c:pt>
                <c:pt idx="61">
                  <c:v>0.12188567805999417</c:v>
                </c:pt>
                <c:pt idx="62">
                  <c:v>0.12196666852916138</c:v>
                </c:pt>
                <c:pt idx="63">
                  <c:v>0.12204171021949306</c:v>
                </c:pt>
                <c:pt idx="64">
                  <c:v>0.12211124052418021</c:v>
                </c:pt>
                <c:pt idx="65">
                  <c:v>0.1221756646123382</c:v>
                </c:pt>
                <c:pt idx="66">
                  <c:v>0.12223535781210049</c:v>
                </c:pt>
                <c:pt idx="67">
                  <c:v>0.12229066781619757</c:v>
                </c:pt>
                <c:pt idx="68">
                  <c:v>0.12234191672342265</c:v>
                </c:pt>
                <c:pt idx="69">
                  <c:v>0.12238940292834932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B-7E46-8B37-DB83F6A3B2FB}"/>
            </c:ext>
          </c:extLst>
        </c:ser>
        <c:ser>
          <c:idx val="4"/>
          <c:order val="4"/>
          <c:tx>
            <c:v>pH 6.99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Sheet1!$H$4:$H$73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</c:numCache>
            </c:numRef>
          </c:xVal>
          <c:yVal>
            <c:numRef>
              <c:f>Sheet1!$M$4:$M$73</c:f>
              <c:numCache>
                <c:formatCode>General</c:formatCode>
                <c:ptCount val="70"/>
                <c:pt idx="0">
                  <c:v>0</c:v>
                </c:pt>
                <c:pt idx="1">
                  <c:v>9.5901185237847741E-3</c:v>
                </c:pt>
                <c:pt idx="2">
                  <c:v>1.8409082436436797E-2</c:v>
                </c:pt>
                <c:pt idx="3">
                  <c:v>2.6524315456192604E-2</c:v>
                </c:pt>
                <c:pt idx="4">
                  <c:v>3.3996600689221057E-2</c:v>
                </c:pt>
                <c:pt idx="5">
                  <c:v>4.0880834013611311E-2</c:v>
                </c:pt>
                <c:pt idx="6">
                  <c:v>4.7226679267950211E-2</c:v>
                </c:pt>
                <c:pt idx="7">
                  <c:v>5.307913964642097E-2</c:v>
                </c:pt>
                <c:pt idx="8">
                  <c:v>5.8479057379094201E-2</c:v>
                </c:pt>
                <c:pt idx="9">
                  <c:v>6.3463551858391032E-2</c:v>
                </c:pt>
                <c:pt idx="10">
                  <c:v>6.8066404784733914E-2</c:v>
                </c:pt>
                <c:pt idx="11">
                  <c:v>7.2318399585378557E-2</c:v>
                </c:pt>
                <c:pt idx="12">
                  <c:v>7.6247621261519072E-2</c:v>
                </c:pt>
                <c:pt idx="13">
                  <c:v>7.9879721900569245E-2</c:v>
                </c:pt>
                <c:pt idx="14">
                  <c:v>8.3238156321174928E-2</c:v>
                </c:pt>
                <c:pt idx="15">
                  <c:v>8.634439167210084E-2</c:v>
                </c:pt>
                <c:pt idx="16">
                  <c:v>8.9218094261575454E-2</c:v>
                </c:pt>
                <c:pt idx="17">
                  <c:v>9.1877296433733213E-2</c:v>
                </c:pt>
                <c:pt idx="18">
                  <c:v>9.4338545919330441E-2</c:v>
                </c:pt>
                <c:pt idx="19">
                  <c:v>9.661703975732594E-2</c:v>
                </c:pt>
                <c:pt idx="20">
                  <c:v>9.8726744602624428E-2</c:v>
                </c:pt>
                <c:pt idx="21">
                  <c:v>0.10068050499537706</c:v>
                </c:pt>
                <c:pt idx="22">
                  <c:v>0.10249014096215325</c:v>
                </c:pt>
                <c:pt idx="23">
                  <c:v>0.10416653614358773</c:v>
                </c:pt>
                <c:pt idx="24">
                  <c:v>0.10571971749223452</c:v>
                </c:pt>
                <c:pt idx="25">
                  <c:v>0.10715892745452749</c:v>
                </c:pt>
                <c:pt idx="26">
                  <c:v>0.10849268943877655</c:v>
                </c:pt>
                <c:pt idx="27">
                  <c:v>0.10972886727436926</c:v>
                </c:pt>
                <c:pt idx="28">
                  <c:v>0.11087471928354775</c:v>
                </c:pt>
                <c:pt idx="29">
                  <c:v>0.11193694751440797</c:v>
                </c:pt>
                <c:pt idx="30">
                  <c:v>0.11292174262053789</c:v>
                </c:pt>
                <c:pt idx="31">
                  <c:v>0.11383482481760376</c:v>
                </c:pt>
                <c:pt idx="32">
                  <c:v>0.11468148129909539</c:v>
                </c:pt>
                <c:pt idx="33">
                  <c:v>0.11546660045135082</c:v>
                </c:pt>
                <c:pt idx="34">
                  <c:v>0.11619470317109948</c:v>
                </c:pt>
                <c:pt idx="35">
                  <c:v>0.11686997155636314</c:v>
                </c:pt>
                <c:pt idx="36">
                  <c:v>0.11749627521305239</c:v>
                </c:pt>
                <c:pt idx="37">
                  <c:v>0.1180771953944646</c:v>
                </c:pt>
                <c:pt idx="38">
                  <c:v>0.11861604716869178</c:v>
                </c:pt>
                <c:pt idx="39">
                  <c:v>0.11911589978930981</c:v>
                </c:pt>
                <c:pt idx="40">
                  <c:v>0.11957959542730046</c:v>
                </c:pt>
                <c:pt idx="41">
                  <c:v>0.12000976640669947</c:v>
                </c:pt>
                <c:pt idx="42">
                  <c:v>0.12040885107269772</c:v>
                </c:pt>
                <c:pt idx="43">
                  <c:v>0.12077910840866135</c:v>
                </c:pt>
                <c:pt idx="44">
                  <c:v>0.12112263150758462</c:v>
                </c:pt>
                <c:pt idx="45">
                  <c:v>0.12144135999369576</c:v>
                </c:pt>
                <c:pt idx="46">
                  <c:v>0.12173709148116163</c:v>
                </c:pt>
                <c:pt idx="47">
                  <c:v>0.12201149214896345</c:v>
                </c:pt>
                <c:pt idx="48">
                  <c:v>0.12226610650394065</c:v>
                </c:pt>
                <c:pt idx="49">
                  <c:v>0.1225023663976289</c:v>
                </c:pt>
                <c:pt idx="50">
                  <c:v>0.12272159935677729</c:v>
                </c:pt>
                <c:pt idx="51">
                  <c:v>0.12292503628224494</c:v>
                </c:pt>
                <c:pt idx="52">
                  <c:v>0.12311381856628945</c:v>
                </c:pt>
                <c:pt idx="53">
                  <c:v>0.12328900467401738</c:v>
                </c:pt>
                <c:pt idx="54">
                  <c:v>0.12345157623091929</c:v>
                </c:pt>
                <c:pt idx="55">
                  <c:v>0.12360244365492001</c:v>
                </c:pt>
                <c:pt idx="56">
                  <c:v>0.12374245136820095</c:v>
                </c:pt>
                <c:pt idx="57">
                  <c:v>0.12387238262116496</c:v>
                </c:pt>
                <c:pt idx="58">
                  <c:v>0.12399296395828263</c:v>
                </c:pt>
                <c:pt idx="59">
                  <c:v>0.12410486935316067</c:v>
                </c:pt>
                <c:pt idx="60">
                  <c:v>0.12420872403798455</c:v>
                </c:pt>
                <c:pt idx="61">
                  <c:v>0.12430510805048445</c:v>
                </c:pt>
                <c:pt idx="62">
                  <c:v>0.12439455951974709</c:v>
                </c:pt>
                <c:pt idx="63">
                  <c:v>0.12447757771051771</c:v>
                </c:pt>
                <c:pt idx="64">
                  <c:v>0.12455462584410371</c:v>
                </c:pt>
                <c:pt idx="65">
                  <c:v>0.12462613371258435</c:v>
                </c:pt>
                <c:pt idx="66">
                  <c:v>0.12469250010173771</c:v>
                </c:pt>
                <c:pt idx="67">
                  <c:v>0.1247540950369127</c:v>
                </c:pt>
                <c:pt idx="68">
                  <c:v>0.12481126186498293</c:v>
                </c:pt>
                <c:pt idx="69">
                  <c:v>0.12486431918451724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0B-7E46-8B37-DB83F6A3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458704"/>
        <c:axId val="1535652880"/>
      </c:scatterChart>
      <c:valAx>
        <c:axId val="77645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Time</a:t>
                </a:r>
                <a:r>
                  <a:rPr lang="en-US" sz="1100" baseline="0">
                    <a:solidFill>
                      <a:schemeClr val="tx1"/>
                    </a:solidFill>
                  </a:rPr>
                  <a:t> (s)</a:t>
                </a:r>
                <a:endParaRPr lang="en-US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52880"/>
        <c:crosses val="autoZero"/>
        <c:crossBetween val="midCat"/>
      </c:valAx>
      <c:valAx>
        <c:axId val="1535652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Fraction</a:t>
                </a:r>
                <a:r>
                  <a:rPr lang="en-US" sz="1100" baseline="0">
                    <a:solidFill>
                      <a:schemeClr val="tx1"/>
                    </a:solidFill>
                  </a:rPr>
                  <a:t> modified</a:t>
                </a:r>
                <a:endParaRPr lang="en-US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5870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032945100612427"/>
          <c:y val="0.50282015529308843"/>
          <c:w val="0.21772610454943131"/>
          <c:h val="0.292970800524934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6350</xdr:rowOff>
    </xdr:from>
    <xdr:to>
      <xdr:col>5</xdr:col>
      <xdr:colOff>349250</xdr:colOff>
      <xdr:row>26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7FA78-0BA1-53BA-1B8C-6834C467F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6454</xdr:colOff>
      <xdr:row>26</xdr:row>
      <xdr:rowOff>104410</xdr:rowOff>
    </xdr:from>
    <xdr:to>
      <xdr:col>5</xdr:col>
      <xdr:colOff>377669</xdr:colOff>
      <xdr:row>44</xdr:row>
      <xdr:rowOff>19466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AD742-ED46-E73F-3024-3A0E020B5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73A1-B12A-BA49-94F4-BBC079F6F3AC}">
  <dimension ref="B2:M73"/>
  <sheetViews>
    <sheetView tabSelected="1" workbookViewId="0">
      <selection activeCell="N28" sqref="N28"/>
    </sheetView>
  </sheetViews>
  <sheetFormatPr baseColWidth="10" defaultRowHeight="16" x14ac:dyDescent="0.2"/>
  <sheetData>
    <row r="2" spans="2:13" ht="20" x14ac:dyDescent="0.25">
      <c r="B2" t="s">
        <v>0</v>
      </c>
      <c r="C2" t="s">
        <v>3</v>
      </c>
      <c r="D2" t="s">
        <v>2</v>
      </c>
      <c r="E2" t="s">
        <v>1</v>
      </c>
      <c r="H2" t="s">
        <v>4</v>
      </c>
      <c r="I2">
        <v>1E-4</v>
      </c>
    </row>
    <row r="3" spans="2:13" x14ac:dyDescent="0.2">
      <c r="B3">
        <v>6.04</v>
      </c>
      <c r="C3">
        <v>8.6548300000000001E-4</v>
      </c>
      <c r="D3">
        <f>-LOG(C3)</f>
        <v>3.0627414582088082</v>
      </c>
      <c r="E3">
        <f>C3*10000</f>
        <v>8.6548300000000005</v>
      </c>
      <c r="I3" t="s">
        <v>5</v>
      </c>
      <c r="J3" t="s">
        <v>6</v>
      </c>
      <c r="K3" t="s">
        <v>7</v>
      </c>
      <c r="L3" t="s">
        <v>8</v>
      </c>
      <c r="M3" t="s">
        <v>9</v>
      </c>
    </row>
    <row r="4" spans="2:13" x14ac:dyDescent="0.2">
      <c r="B4">
        <v>6.2069999999999999</v>
      </c>
      <c r="C4">
        <v>8.3230700000000001E-4</v>
      </c>
      <c r="D4">
        <f t="shared" ref="D4:D7" si="0">-LOG(C4)</f>
        <v>3.079716452779536</v>
      </c>
      <c r="E4">
        <f t="shared" ref="E4:E7" si="1">C4*10000</f>
        <v>8.3230699999999995</v>
      </c>
      <c r="H4">
        <v>0</v>
      </c>
      <c r="I4">
        <f>1 - EXP(-$I$2/$C$3 * (1 - EXP(-$C$3 * H4)))</f>
        <v>0</v>
      </c>
      <c r="J4">
        <f>1 - EXP(-$I$2/$C$4 * (1 - EXP(-$C$4 * H4)))</f>
        <v>0</v>
      </c>
      <c r="K4">
        <f>1 - EXP(-$I$2/$C$5 * (1 - EXP(-$C$5 * H4)))</f>
        <v>0</v>
      </c>
      <c r="L4">
        <f>1 - EXP(-$I$2/$C$6 * (1 - EXP(-$C$6 * H4)))</f>
        <v>0</v>
      </c>
      <c r="M4">
        <f>1 - EXP(-$I$2/$C$7 * (1 - EXP(-$C$7 * H4)))</f>
        <v>0</v>
      </c>
    </row>
    <row r="5" spans="2:13" x14ac:dyDescent="0.2">
      <c r="B5">
        <v>6.5039999999999996</v>
      </c>
      <c r="C5">
        <v>7.8139699999999997E-4</v>
      </c>
      <c r="D5">
        <f t="shared" si="0"/>
        <v>3.1071282604851103</v>
      </c>
      <c r="E5">
        <f t="shared" si="1"/>
        <v>7.8139699999999994</v>
      </c>
      <c r="H5">
        <v>100</v>
      </c>
      <c r="I5">
        <f t="shared" ref="I5:I68" si="2">1 - EXP(-$I$2/$C$3 * (1 - EXP(-$C$3 * H5)))</f>
        <v>9.5337403006042765E-3</v>
      </c>
      <c r="J5">
        <f t="shared" ref="J5:J68" si="3">1 - EXP(-$I$2/$C$4 * (1 - EXP(-$C$4 * H5)))</f>
        <v>9.5492691629104343E-3</v>
      </c>
      <c r="K5">
        <f t="shared" ref="K5:K68" si="4">1 - EXP(-$I$2/$C$5 * (1 - EXP(-$C$5 * H5)))</f>
        <v>9.5731648228637445E-3</v>
      </c>
      <c r="L5">
        <f t="shared" ref="L5:L68" si="5">1 - EXP(-$I$2/$C$6 * (1 - EXP(-$C$6 * H5)))</f>
        <v>9.5822959185647427E-3</v>
      </c>
      <c r="M5">
        <f t="shared" ref="M5:M68" si="6">1 - EXP(-$I$2/$C$7 * (1 - EXP(-$C$7 * H5)))</f>
        <v>9.5901185237847741E-3</v>
      </c>
    </row>
    <row r="6" spans="2:13" x14ac:dyDescent="0.2">
      <c r="B6">
        <v>6.6710000000000003</v>
      </c>
      <c r="C6">
        <v>7.6198800000000001E-4</v>
      </c>
      <c r="D6">
        <f t="shared" si="0"/>
        <v>3.1180518679974321</v>
      </c>
      <c r="E6">
        <f t="shared" si="1"/>
        <v>7.6198800000000002</v>
      </c>
      <c r="H6">
        <v>200</v>
      </c>
      <c r="I6">
        <f t="shared" si="2"/>
        <v>1.8197128068461299E-2</v>
      </c>
      <c r="J6">
        <f t="shared" si="3"/>
        <v>1.825534644690463E-2</v>
      </c>
      <c r="K6">
        <f t="shared" si="4"/>
        <v>1.8345173581043261E-2</v>
      </c>
      <c r="L6">
        <f t="shared" si="5"/>
        <v>1.837957594031403E-2</v>
      </c>
      <c r="M6">
        <f t="shared" si="6"/>
        <v>1.8409082436436797E-2</v>
      </c>
    </row>
    <row r="7" spans="2:13" x14ac:dyDescent="0.2">
      <c r="B7">
        <v>6.9859999999999998</v>
      </c>
      <c r="C7">
        <v>7.4538000000000002E-4</v>
      </c>
      <c r="D7">
        <f t="shared" si="0"/>
        <v>3.1276222643943159</v>
      </c>
      <c r="E7">
        <f t="shared" si="1"/>
        <v>7.4538000000000002</v>
      </c>
      <c r="H7">
        <v>300</v>
      </c>
      <c r="I7">
        <f t="shared" si="2"/>
        <v>2.6075615731582458E-2</v>
      </c>
      <c r="J7">
        <f t="shared" si="3"/>
        <v>2.6198527160174345E-2</v>
      </c>
      <c r="K7">
        <f t="shared" si="4"/>
        <v>2.6388669008525767E-2</v>
      </c>
      <c r="L7">
        <f t="shared" si="5"/>
        <v>2.6461650052617691E-2</v>
      </c>
      <c r="M7">
        <f t="shared" si="6"/>
        <v>2.6524315456192604E-2</v>
      </c>
    </row>
    <row r="8" spans="2:13" x14ac:dyDescent="0.2">
      <c r="H8">
        <v>400</v>
      </c>
      <c r="I8">
        <f t="shared" si="2"/>
        <v>3.324531956340826E-2</v>
      </c>
      <c r="J8">
        <f t="shared" si="3"/>
        <v>3.3450570457417506E-2</v>
      </c>
      <c r="K8">
        <f t="shared" si="4"/>
        <v>3.3768902531431833E-2</v>
      </c>
      <c r="L8">
        <f t="shared" si="5"/>
        <v>3.3891347491488366E-2</v>
      </c>
      <c r="M8">
        <f t="shared" si="6"/>
        <v>3.3996600689221057E-2</v>
      </c>
    </row>
    <row r="9" spans="2:13" x14ac:dyDescent="0.2">
      <c r="H9">
        <v>500</v>
      </c>
      <c r="I9">
        <f t="shared" si="2"/>
        <v>3.9774184420278136E-2</v>
      </c>
      <c r="J9">
        <f t="shared" si="3"/>
        <v>4.0075738072262168E-2</v>
      </c>
      <c r="K9">
        <f t="shared" si="4"/>
        <v>4.0544598304471435E-2</v>
      </c>
      <c r="L9">
        <f t="shared" si="5"/>
        <v>4.0725319859755915E-2</v>
      </c>
      <c r="M9">
        <f t="shared" si="6"/>
        <v>4.0880834013611311E-2</v>
      </c>
    </row>
    <row r="10" spans="2:13" x14ac:dyDescent="0.2">
      <c r="H10">
        <v>600</v>
      </c>
      <c r="I10">
        <f t="shared" si="2"/>
        <v>4.5722981962228237E-2</v>
      </c>
      <c r="J10">
        <f t="shared" si="3"/>
        <v>4.6131688083039801E-2</v>
      </c>
      <c r="K10">
        <f t="shared" si="4"/>
        <v>4.6768701280110236E-2</v>
      </c>
      <c r="L10">
        <f t="shared" si="5"/>
        <v>4.7014738123748567E-2</v>
      </c>
      <c r="M10">
        <f t="shared" si="6"/>
        <v>4.7226679267950211E-2</v>
      </c>
    </row>
    <row r="11" spans="2:13" x14ac:dyDescent="0.2">
      <c r="H11">
        <v>700</v>
      </c>
      <c r="I11">
        <f t="shared" si="2"/>
        <v>5.1146169179348222E-2</v>
      </c>
      <c r="J11">
        <f t="shared" si="3"/>
        <v>5.1670246500471695E-2</v>
      </c>
      <c r="K11">
        <f t="shared" si="4"/>
        <v>5.2489026832714614E-2</v>
      </c>
      <c r="L11">
        <f t="shared" si="5"/>
        <v>5.2805899270986889E-2</v>
      </c>
      <c r="M11">
        <f t="shared" si="6"/>
        <v>5.307913964642097E-2</v>
      </c>
    </row>
    <row r="12" spans="2:13" x14ac:dyDescent="0.2">
      <c r="H12">
        <v>800</v>
      </c>
      <c r="I12">
        <f t="shared" si="2"/>
        <v>5.6092629288003626E-2</v>
      </c>
      <c r="J12">
        <f t="shared" si="3"/>
        <v>5.6738075522184017E-2</v>
      </c>
      <c r="K12">
        <f t="shared" si="4"/>
        <v>5.7748826546885401E-2</v>
      </c>
      <c r="L12">
        <f t="shared" si="5"/>
        <v>5.8140755829323654E-2</v>
      </c>
      <c r="M12">
        <f t="shared" si="6"/>
        <v>5.8479057379094201E-2</v>
      </c>
    </row>
    <row r="13" spans="2:13" x14ac:dyDescent="0.2">
      <c r="H13">
        <v>900</v>
      </c>
      <c r="I13">
        <f t="shared" si="2"/>
        <v>6.0606313216408969E-2</v>
      </c>
      <c r="J13">
        <f t="shared" si="3"/>
        <v>6.1377254093699873E-2</v>
      </c>
      <c r="K13">
        <f t="shared" si="4"/>
        <v>6.2587282390171972E-2</v>
      </c>
      <c r="L13">
        <f t="shared" si="5"/>
        <v>6.3057379323024687E-2</v>
      </c>
      <c r="M13">
        <f t="shared" si="6"/>
        <v>6.3463551858391032E-2</v>
      </c>
    </row>
    <row r="14" spans="2:13" x14ac:dyDescent="0.2">
      <c r="H14">
        <v>1000</v>
      </c>
      <c r="I14">
        <f t="shared" si="2"/>
        <v>6.4726796779790985E-2</v>
      </c>
      <c r="J14">
        <f t="shared" si="3"/>
        <v>6.5625783800663973E-2</v>
      </c>
      <c r="K14">
        <f t="shared" si="4"/>
        <v>6.703993952438958E-2</v>
      </c>
      <c r="L14">
        <f t="shared" si="5"/>
        <v>6.7590366986764461E-2</v>
      </c>
      <c r="M14">
        <f t="shared" si="6"/>
        <v>6.8066404784733914E-2</v>
      </c>
    </row>
    <row r="15" spans="2:13" x14ac:dyDescent="0.2">
      <c r="H15">
        <v>1100</v>
      </c>
      <c r="I15">
        <f t="shared" si="2"/>
        <v>6.848976610512203E-2</v>
      </c>
      <c r="J15">
        <f t="shared" si="3"/>
        <v>6.9518030976095879E-2</v>
      </c>
      <c r="K15">
        <f t="shared" si="4"/>
        <v>7.1139086386592498E-2</v>
      </c>
      <c r="L15">
        <f t="shared" si="5"/>
        <v>7.177119960521916E-2</v>
      </c>
      <c r="M15">
        <f t="shared" si="6"/>
        <v>7.2318399585378557E-2</v>
      </c>
    </row>
    <row r="16" spans="2:13" x14ac:dyDescent="0.2">
      <c r="H16">
        <v>1200</v>
      </c>
      <c r="I16">
        <f t="shared" si="2"/>
        <v>7.1927441789031543E-2</v>
      </c>
      <c r="J16">
        <f t="shared" si="3"/>
        <v>7.308511414741814E-2</v>
      </c>
      <c r="K16">
        <f t="shared" si="4"/>
        <v>7.4914089326315048E-2</v>
      </c>
      <c r="L16">
        <f t="shared" si="5"/>
        <v>7.5628557138432417E-2</v>
      </c>
      <c r="M16">
        <f t="shared" si="6"/>
        <v>7.6247621261519072E-2</v>
      </c>
    </row>
    <row r="17" spans="8:13" x14ac:dyDescent="0.2">
      <c r="H17">
        <v>1300</v>
      </c>
      <c r="I17">
        <f t="shared" si="2"/>
        <v>7.5068950569243897E-2</v>
      </c>
      <c r="J17">
        <f t="shared" si="3"/>
        <v>7.6355244497844588E-2</v>
      </c>
      <c r="K17">
        <f t="shared" si="4"/>
        <v>7.8391687968658363E-2</v>
      </c>
      <c r="L17">
        <f t="shared" si="5"/>
        <v>7.9188597786830517E-2</v>
      </c>
      <c r="M17">
        <f t="shared" si="6"/>
        <v>7.9879721900569245E-2</v>
      </c>
    </row>
    <row r="18" spans="8:13" x14ac:dyDescent="0.2">
      <c r="H18">
        <v>1400</v>
      </c>
      <c r="I18">
        <f t="shared" si="2"/>
        <v>7.7940651887866363E-2</v>
      </c>
      <c r="J18">
        <f t="shared" si="3"/>
        <v>7.9354025817296669E-2</v>
      </c>
      <c r="K18">
        <f t="shared" si="4"/>
        <v>8.1596256541933254E-2</v>
      </c>
      <c r="L18">
        <f t="shared" si="5"/>
        <v>8.2475205308714772E-2</v>
      </c>
      <c r="M18">
        <f t="shared" si="6"/>
        <v>8.3238156321174928E-2</v>
      </c>
    </row>
    <row r="19" spans="8:13" x14ac:dyDescent="0.2">
      <c r="H19">
        <v>1500</v>
      </c>
      <c r="I19">
        <f t="shared" si="2"/>
        <v>8.0566425566909072E-2</v>
      </c>
      <c r="J19">
        <f t="shared" si="3"/>
        <v>8.2104719422813277E-2</v>
      </c>
      <c r="K19">
        <f t="shared" si="4"/>
        <v>8.4550035630555298E-2</v>
      </c>
      <c r="L19">
        <f t="shared" si="5"/>
        <v>8.5510208698132528E-2</v>
      </c>
      <c r="M19">
        <f t="shared" si="6"/>
        <v>8.634439167210084E-2</v>
      </c>
    </row>
    <row r="20" spans="8:13" x14ac:dyDescent="0.2">
      <c r="H20">
        <v>1600</v>
      </c>
      <c r="I20">
        <f t="shared" si="2"/>
        <v>8.2967925856946123E-2</v>
      </c>
      <c r="J20">
        <f t="shared" si="3"/>
        <v>8.4628478700124687E-2</v>
      </c>
      <c r="K20">
        <f t="shared" si="4"/>
        <v>8.7273338161806158E-2</v>
      </c>
      <c r="L20">
        <f t="shared" si="5"/>
        <v>8.831357773857329E-2</v>
      </c>
      <c r="M20">
        <f t="shared" si="6"/>
        <v>8.9218094261575454E-2</v>
      </c>
    </row>
    <row r="21" spans="8:13" x14ac:dyDescent="0.2">
      <c r="H21">
        <v>1700</v>
      </c>
      <c r="I21">
        <f t="shared" si="2"/>
        <v>8.5164806322275632E-2</v>
      </c>
      <c r="J21">
        <f t="shared" si="3"/>
        <v>8.6944557226595665E-2</v>
      </c>
      <c r="K21">
        <f t="shared" si="4"/>
        <v>8.9784732887013718E-2</v>
      </c>
      <c r="L21">
        <f t="shared" si="5"/>
        <v>9.090359744868759E-2</v>
      </c>
      <c r="M21">
        <f t="shared" si="6"/>
        <v>9.1877296433733213E-2</v>
      </c>
    </row>
    <row r="22" spans="8:13" x14ac:dyDescent="0.2">
      <c r="H22">
        <v>1800</v>
      </c>
      <c r="I22">
        <f t="shared" si="2"/>
        <v>8.7174919360924363E-2</v>
      </c>
      <c r="J22">
        <f t="shared" si="3"/>
        <v>8.9070493856813204E-2</v>
      </c>
      <c r="K22">
        <f t="shared" si="4"/>
        <v>9.2101208155840997E-2</v>
      </c>
      <c r="L22">
        <f t="shared" si="5"/>
        <v>9.3297024014413199E-2</v>
      </c>
      <c r="M22">
        <f t="shared" si="6"/>
        <v>9.4338545919330441E-2</v>
      </c>
    </row>
    <row r="23" spans="8:13" x14ac:dyDescent="0.2">
      <c r="H23">
        <v>1900</v>
      </c>
      <c r="I23">
        <f t="shared" si="2"/>
        <v>8.9014493601664468E-2</v>
      </c>
      <c r="J23">
        <f t="shared" si="3"/>
        <v>9.1022277665996687E-2</v>
      </c>
      <c r="K23">
        <f t="shared" si="4"/>
        <v>9.4238318392130482E-2</v>
      </c>
      <c r="L23">
        <f t="shared" si="5"/>
        <v>9.5509224444614071E-2</v>
      </c>
      <c r="M23">
        <f t="shared" si="6"/>
        <v>9.661703975732594E-2</v>
      </c>
    </row>
    <row r="24" spans="8:13" x14ac:dyDescent="0.2">
      <c r="H24">
        <v>2000</v>
      </c>
      <c r="I24">
        <f t="shared" si="2"/>
        <v>9.0698291953666077E-2</v>
      </c>
      <c r="J24">
        <f t="shared" si="3"/>
        <v>9.2814495237108385E-2</v>
      </c>
      <c r="K24">
        <f t="shared" si="4"/>
        <v>9.6210315349169129E-2</v>
      </c>
      <c r="L24">
        <f t="shared" si="5"/>
        <v>9.7554301883959305E-2</v>
      </c>
      <c r="M24">
        <f t="shared" si="6"/>
        <v>9.8726744602624428E-2</v>
      </c>
    </row>
    <row r="25" spans="8:13" x14ac:dyDescent="0.2">
      <c r="H25">
        <v>2100</v>
      </c>
      <c r="I25">
        <f t="shared" si="2"/>
        <v>9.2239752691917087E-2</v>
      </c>
      <c r="J25">
        <f t="shared" si="3"/>
        <v>9.4460462431959713E-2</v>
      </c>
      <c r="K25">
        <f t="shared" si="4"/>
        <v>9.8030265941501105E-2</v>
      </c>
      <c r="L25">
        <f t="shared" si="5"/>
        <v>9.9445208258546303E-2</v>
      </c>
      <c r="M25">
        <f t="shared" si="6"/>
        <v>0.10068050499537706</v>
      </c>
    </row>
    <row r="26" spans="8:13" x14ac:dyDescent="0.2">
      <c r="H26">
        <v>2200</v>
      </c>
      <c r="I26">
        <f t="shared" si="2"/>
        <v>9.365111563040085E-2</v>
      </c>
      <c r="J26">
        <f t="shared" si="3"/>
        <v>9.5972342494040741E-2</v>
      </c>
      <c r="K26">
        <f t="shared" si="4"/>
        <v>9.9710158211418598E-2</v>
      </c>
      <c r="L26">
        <f t="shared" si="5"/>
        <v>0.10119384570945056</v>
      </c>
      <c r="M26">
        <f t="shared" si="6"/>
        <v>0.10249014096215325</v>
      </c>
    </row>
    <row r="27" spans="8:13" x14ac:dyDescent="0.2">
      <c r="H27">
        <v>2300</v>
      </c>
      <c r="I27">
        <f t="shared" si="2"/>
        <v>9.4943535154848435E-2</v>
      </c>
      <c r="J27">
        <f t="shared" si="3"/>
        <v>9.7361252082448391E-2</v>
      </c>
      <c r="K27">
        <f t="shared" si="4"/>
        <v>0.10126099678430078</v>
      </c>
      <c r="L27">
        <f t="shared" si="5"/>
        <v>0.10281115808097063</v>
      </c>
      <c r="M27">
        <f t="shared" si="6"/>
        <v>0.10416653614358773</v>
      </c>
    </row>
    <row r="28" spans="8:13" x14ac:dyDescent="0.2">
      <c r="H28">
        <v>2400</v>
      </c>
      <c r="I28">
        <f t="shared" si="2"/>
        <v>9.6127181649181881E-2</v>
      </c>
      <c r="J28">
        <f t="shared" si="3"/>
        <v>9.8637356624924011E-2</v>
      </c>
      <c r="K28">
        <f t="shared" si="4"/>
        <v>0.10269288899250861</v>
      </c>
      <c r="L28">
        <f t="shared" si="5"/>
        <v>0.10430721356884265</v>
      </c>
      <c r="M28">
        <f t="shared" si="6"/>
        <v>0.10571971749223452</v>
      </c>
    </row>
    <row r="29" spans="8:13" x14ac:dyDescent="0.2">
      <c r="H29">
        <v>2500</v>
      </c>
      <c r="I29">
        <f t="shared" si="2"/>
        <v>9.7211332647528015E-2</v>
      </c>
      <c r="J29">
        <f t="shared" si="3"/>
        <v>9.9809956197662753E-2</v>
      </c>
      <c r="K29">
        <f t="shared" si="4"/>
        <v>0.10401512269795232</v>
      </c>
      <c r="L29">
        <f t="shared" si="5"/>
        <v>0.10569127949495538</v>
      </c>
      <c r="M29">
        <f t="shared" si="6"/>
        <v>0.10715892745452749</v>
      </c>
    </row>
    <row r="30" spans="8:13" x14ac:dyDescent="0.2">
      <c r="H30">
        <v>2600</v>
      </c>
      <c r="I30">
        <f t="shared" si="2"/>
        <v>9.8204454871171132E-2</v>
      </c>
      <c r="J30">
        <f t="shared" si="3"/>
        <v>0.10088756298527146</v>
      </c>
      <c r="K30">
        <f t="shared" si="4"/>
        <v>0.10523623671489568</v>
      </c>
      <c r="L30">
        <f t="shared" si="5"/>
        <v>0.10697189005564856</v>
      </c>
      <c r="M30">
        <f t="shared" si="6"/>
        <v>0.10849268943877655</v>
      </c>
    </row>
    <row r="31" spans="8:13" x14ac:dyDescent="0.2">
      <c r="H31">
        <v>2700</v>
      </c>
      <c r="I31">
        <f t="shared" si="2"/>
        <v>9.9114278162245495E-2</v>
      </c>
      <c r="J31">
        <f t="shared" si="3"/>
        <v>0.1018779712419442</v>
      </c>
      <c r="K31">
        <f t="shared" si="4"/>
        <v>0.10636408462383018</v>
      </c>
      <c r="L31">
        <f t="shared" si="5"/>
        <v>0.10815690778760534</v>
      </c>
      <c r="M31">
        <f t="shared" si="6"/>
        <v>0.10972886727436926</v>
      </c>
    </row>
    <row r="32" spans="8:13" x14ac:dyDescent="0.2">
      <c r="H32">
        <v>2800</v>
      </c>
      <c r="I32">
        <f t="shared" si="2"/>
        <v>9.9947862199411652E-2</v>
      </c>
      <c r="J32">
        <f t="shared" si="3"/>
        <v>0.10278832056116671</v>
      </c>
      <c r="K32">
        <f t="shared" si="4"/>
        <v>0.10740589267166489</v>
      </c>
      <c r="L32">
        <f t="shared" si="5"/>
        <v>0.10925357940622293</v>
      </c>
      <c r="M32">
        <f t="shared" si="6"/>
        <v>0.11087471928354775</v>
      </c>
    </row>
    <row r="33" spans="8:13" x14ac:dyDescent="0.2">
      <c r="H33">
        <v>2900</v>
      </c>
      <c r="I33">
        <f t="shared" si="2"/>
        <v>0.10071165677193794</v>
      </c>
      <c r="J33">
        <f t="shared" si="3"/>
        <v>0.10362515316322618</v>
      </c>
      <c r="K33">
        <f t="shared" si="4"/>
        <v>0.10836831237076894</v>
      </c>
      <c r="L33">
        <f t="shared" si="5"/>
        <v>0.11026858659410588</v>
      </c>
      <c r="M33">
        <f t="shared" si="6"/>
        <v>0.11193694751440797</v>
      </c>
    </row>
    <row r="34" spans="8:13" x14ac:dyDescent="0.2">
      <c r="H34">
        <v>3000</v>
      </c>
      <c r="I34">
        <f t="shared" si="2"/>
        <v>0.10141155629478571</v>
      </c>
      <c r="J34">
        <f t="shared" si="3"/>
        <v>0.10439446582509382</v>
      </c>
      <c r="K34">
        <f t="shared" si="4"/>
        <v>0.10925746833769379</v>
      </c>
      <c r="L34">
        <f t="shared" si="5"/>
        <v>0.11120809225025607</v>
      </c>
      <c r="M34">
        <f t="shared" si="6"/>
        <v>0.11292174262053789</v>
      </c>
    </row>
    <row r="35" spans="8:13" x14ac:dyDescent="0.2">
      <c r="H35">
        <v>3100</v>
      </c>
      <c r="I35">
        <f t="shared" si="2"/>
        <v>0.10205294916620877</v>
      </c>
      <c r="J35">
        <f t="shared" si="3"/>
        <v>0.10510175700389746</v>
      </c>
      <c r="K35">
        <f t="shared" si="4"/>
        <v>0.11007900185007857</v>
      </c>
      <c r="L35">
        <f t="shared" si="5"/>
        <v>0.11207778265216339</v>
      </c>
      <c r="M35">
        <f t="shared" si="6"/>
        <v>0.11383482481760376</v>
      </c>
    </row>
    <row r="36" spans="8:13" x14ac:dyDescent="0.2">
      <c r="H36">
        <v>3200</v>
      </c>
      <c r="I36">
        <f t="shared" si="2"/>
        <v>0.10264076249910259</v>
      </c>
      <c r="J36">
        <f t="shared" si="3"/>
        <v>0.10575206964151351</v>
      </c>
      <c r="K36">
        <f t="shared" si="4"/>
        <v>0.11083811054597548</v>
      </c>
      <c r="L36">
        <f t="shared" si="5"/>
        <v>0.11288290593210004</v>
      </c>
      <c r="M36">
        <f t="shared" si="6"/>
        <v>0.11468148129909539</v>
      </c>
    </row>
    <row r="37" spans="8:13" x14ac:dyDescent="0.2">
      <c r="H37">
        <v>3300</v>
      </c>
      <c r="I37">
        <f t="shared" si="2"/>
        <v>0.10317950269630327</v>
      </c>
      <c r="J37">
        <f t="shared" si="3"/>
        <v>0.10635003008239874</v>
      </c>
      <c r="K37">
        <f t="shared" si="4"/>
        <v>0.11153958464245961</v>
      </c>
      <c r="L37">
        <f t="shared" si="5"/>
        <v>0.11362830722444506</v>
      </c>
      <c r="M37">
        <f t="shared" si="6"/>
        <v>0.11546660045135082</v>
      </c>
    </row>
    <row r="38" spans="8:13" x14ac:dyDescent="0.2">
      <c r="H38">
        <v>3400</v>
      </c>
      <c r="I38">
        <f t="shared" si="2"/>
        <v>0.1036732922868715</v>
      </c>
      <c r="J38">
        <f t="shared" si="3"/>
        <v>0.10689988348844415</v>
      </c>
      <c r="K38">
        <f t="shared" si="4"/>
        <v>0.11218784000897053</v>
      </c>
      <c r="L38">
        <f t="shared" si="5"/>
        <v>0.11431846080192265</v>
      </c>
      <c r="M38">
        <f t="shared" si="6"/>
        <v>0.11619470317109948</v>
      </c>
    </row>
    <row r="39" spans="8:13" x14ac:dyDescent="0.2">
      <c r="H39">
        <v>3500</v>
      </c>
      <c r="I39">
        <f t="shared" si="2"/>
        <v>0.10412590339399741</v>
      </c>
      <c r="J39">
        <f t="shared" si="3"/>
        <v>0.10740552609238929</v>
      </c>
      <c r="K39">
        <f t="shared" si="4"/>
        <v>0.1127869483945213</v>
      </c>
      <c r="L39">
        <f t="shared" si="5"/>
        <v>0.11495749948446488</v>
      </c>
      <c r="M39">
        <f t="shared" si="6"/>
        <v>0.11686997155636314</v>
      </c>
    </row>
    <row r="40" spans="8:13" x14ac:dyDescent="0.2">
      <c r="H40">
        <v>3600</v>
      </c>
      <c r="I40">
        <f t="shared" si="2"/>
        <v>0.10454078816455203</v>
      </c>
      <c r="J40">
        <f t="shared" si="3"/>
        <v>0.10787053459430518</v>
      </c>
      <c r="K40">
        <f t="shared" si="4"/>
        <v>0.11334066507603013</v>
      </c>
      <c r="L40">
        <f t="shared" si="5"/>
        <v>0.11554924157437796</v>
      </c>
      <c r="M40">
        <f t="shared" si="6"/>
        <v>0.11749627521305239</v>
      </c>
    </row>
    <row r="41" spans="8:13" x14ac:dyDescent="0.2">
      <c r="H41">
        <v>3700</v>
      </c>
      <c r="I41">
        <f t="shared" si="2"/>
        <v>0.10492110645470165</v>
      </c>
      <c r="J41">
        <f t="shared" si="3"/>
        <v>0.10829819297315479</v>
      </c>
      <c r="K41">
        <f t="shared" si="4"/>
        <v>0.11385245416696899</v>
      </c>
      <c r="L41">
        <f t="shared" si="5"/>
        <v>0.11609721554502495</v>
      </c>
      <c r="M41">
        <f t="shared" si="6"/>
        <v>0.1180771953944646</v>
      </c>
    </row>
    <row r="42" spans="8:13" x14ac:dyDescent="0.2">
      <c r="H42">
        <v>3800</v>
      </c>
      <c r="I42">
        <f t="shared" si="2"/>
        <v>0.10526975103468994</v>
      </c>
      <c r="J42">
        <f t="shared" si="3"/>
        <v>0.10869151695682133</v>
      </c>
      <c r="K42">
        <f t="shared" si="4"/>
        <v>0.11432551180078121</v>
      </c>
      <c r="L42">
        <f t="shared" si="5"/>
        <v>0.1166046826868945</v>
      </c>
      <c r="M42">
        <f t="shared" si="6"/>
        <v>0.11861604716869178</v>
      </c>
    </row>
    <row r="43" spans="8:13" x14ac:dyDescent="0.2">
      <c r="H43">
        <v>3900</v>
      </c>
      <c r="I43">
        <f t="shared" si="2"/>
        <v>0.10558937054831274</v>
      </c>
      <c r="J43">
        <f t="shared" si="3"/>
        <v>0.10905327636876938</v>
      </c>
      <c r="K43">
        <f t="shared" si="4"/>
        <v>0.11476278738165857</v>
      </c>
      <c r="L43">
        <f t="shared" si="5"/>
        <v>0.11707465789426719</v>
      </c>
      <c r="M43">
        <f t="shared" si="6"/>
        <v>0.11911589978930981</v>
      </c>
    </row>
    <row r="44" spans="8:13" x14ac:dyDescent="0.2">
      <c r="H44">
        <v>4000</v>
      </c>
      <c r="I44">
        <f t="shared" si="2"/>
        <v>0.10588239043825465</v>
      </c>
      <c r="J44">
        <f t="shared" si="3"/>
        <v>0.10938601554719796</v>
      </c>
      <c r="K44">
        <f t="shared" si="4"/>
        <v>0.11516700307591365</v>
      </c>
      <c r="L44">
        <f t="shared" si="5"/>
        <v>0.1175099287574064</v>
      </c>
      <c r="M44">
        <f t="shared" si="6"/>
        <v>0.11957959542730046</v>
      </c>
    </row>
    <row r="45" spans="8:13" x14ac:dyDescent="0.2">
      <c r="H45">
        <v>4100</v>
      </c>
      <c r="I45">
        <f t="shared" si="2"/>
        <v>0.10615103202691067</v>
      </c>
      <c r="J45">
        <f t="shared" si="3"/>
        <v>0.10969207201279763</v>
      </c>
      <c r="K45">
        <f t="shared" si="4"/>
        <v>0.11554067170001747</v>
      </c>
      <c r="L45">
        <f t="shared" si="5"/>
        <v>0.11791307310895549</v>
      </c>
      <c r="M45">
        <f t="shared" si="6"/>
        <v>0.12000976640669947</v>
      </c>
    </row>
    <row r="46" spans="8:13" x14ac:dyDescent="0.2">
      <c r="H46">
        <v>4200</v>
      </c>
      <c r="I46">
        <f t="shared" si="2"/>
        <v>0.1063973299232075</v>
      </c>
      <c r="J46">
        <f t="shared" si="3"/>
        <v>0.10997359354369973</v>
      </c>
      <c r="K46">
        <f t="shared" si="4"/>
        <v>0.11588611314611419</v>
      </c>
      <c r="L46">
        <f t="shared" si="5"/>
        <v>0.11828647515878887</v>
      </c>
      <c r="M46">
        <f t="shared" si="6"/>
        <v>0.12040885107269772</v>
      </c>
    </row>
    <row r="47" spans="8:13" x14ac:dyDescent="0.2">
      <c r="H47">
        <v>4300</v>
      </c>
      <c r="I47">
        <f t="shared" si="2"/>
        <v>0.10662314790897287</v>
      </c>
      <c r="J47">
        <f t="shared" si="3"/>
        <v>0.11023255380061991</v>
      </c>
      <c r="K47">
        <f t="shared" si="4"/>
        <v>0.11620546947224542</v>
      </c>
      <c r="L47">
        <f t="shared" si="5"/>
        <v>0.11863234033869918</v>
      </c>
      <c r="M47">
        <f t="shared" si="6"/>
        <v>0.12077910840866135</v>
      </c>
    </row>
    <row r="48" spans="8:13" x14ac:dyDescent="0.2">
      <c r="H48">
        <v>4400</v>
      </c>
      <c r="I48">
        <f t="shared" si="2"/>
        <v>0.10683019344329114</v>
      </c>
      <c r="J48">
        <f t="shared" si="3"/>
        <v>0.11047076663132327</v>
      </c>
      <c r="K48">
        <f t="shared" si="4"/>
        <v>0.11650071877239676</v>
      </c>
      <c r="L48">
        <f t="shared" si="5"/>
        <v>0.11895270896682675</v>
      </c>
      <c r="M48">
        <f t="shared" si="6"/>
        <v>0.12112263150758462</v>
      </c>
    </row>
    <row r="49" spans="8:13" x14ac:dyDescent="0.2">
      <c r="H49">
        <v>4500</v>
      </c>
      <c r="I49">
        <f t="shared" si="2"/>
        <v>0.10702003090981771</v>
      </c>
      <c r="J49">
        <f t="shared" si="3"/>
        <v>0.11068989917114891</v>
      </c>
      <c r="K49">
        <f t="shared" si="4"/>
        <v>0.11677368793066012</v>
      </c>
      <c r="L49">
        <f t="shared" si="5"/>
        <v>0.11924946883146992</v>
      </c>
      <c r="M49">
        <f t="shared" si="6"/>
        <v>0.12144135999369576</v>
      </c>
    </row>
    <row r="50" spans="8:13" x14ac:dyDescent="0.2">
      <c r="H50">
        <v>4600</v>
      </c>
      <c r="I50">
        <f t="shared" si="2"/>
        <v>0.107194093719994</v>
      </c>
      <c r="J50">
        <f t="shared" si="3"/>
        <v>0.11089148384526026</v>
      </c>
      <c r="K50">
        <f t="shared" si="4"/>
        <v>0.11702606435411023</v>
      </c>
      <c r="L50">
        <f t="shared" si="5"/>
        <v>0.11952436678473344</v>
      </c>
      <c r="M50">
        <f t="shared" si="6"/>
        <v>0.12173709148116163</v>
      </c>
    </row>
    <row r="51" spans="8:13" x14ac:dyDescent="0.2">
      <c r="H51">
        <v>4700</v>
      </c>
      <c r="I51">
        <f t="shared" si="2"/>
        <v>0.10735369537434003</v>
      </c>
      <c r="J51">
        <f t="shared" si="3"/>
        <v>0.1110769293683721</v>
      </c>
      <c r="K51">
        <f t="shared" si="4"/>
        <v>0.1172594067703131</v>
      </c>
      <c r="L51">
        <f t="shared" si="5"/>
        <v>0.11977901942822222</v>
      </c>
      <c r="M51">
        <f t="shared" si="6"/>
        <v>0.12201149214896345</v>
      </c>
    </row>
    <row r="52" spans="8:13" x14ac:dyDescent="0.2">
      <c r="H52">
        <v>4800</v>
      </c>
      <c r="I52">
        <f t="shared" si="2"/>
        <v>0.10750003957435783</v>
      </c>
      <c r="J52">
        <f t="shared" si="3"/>
        <v>0.11124753082881267</v>
      </c>
      <c r="K52">
        <f t="shared" si="4"/>
        <v>0.11747515516757878</v>
      </c>
      <c r="L52">
        <f t="shared" si="5"/>
        <v>0.12001492296558647</v>
      </c>
      <c r="M52">
        <f t="shared" si="6"/>
        <v>0.12226610650394065</v>
      </c>
    </row>
    <row r="53" spans="8:13" x14ac:dyDescent="0.2">
      <c r="H53">
        <v>4900</v>
      </c>
      <c r="I53">
        <f t="shared" si="2"/>
        <v>0.1076342294689201</v>
      </c>
      <c r="J53">
        <f t="shared" si="3"/>
        <v>0.11140447893578909</v>
      </c>
      <c r="K53">
        <f t="shared" si="4"/>
        <v>0.11767463994905769</v>
      </c>
      <c r="L53">
        <f t="shared" si="5"/>
        <v>0.12023346229006127</v>
      </c>
      <c r="M53">
        <f t="shared" si="6"/>
        <v>0.1225023663976289</v>
      </c>
    </row>
    <row r="54" spans="8:13" x14ac:dyDescent="0.2">
      <c r="H54">
        <v>5000</v>
      </c>
      <c r="I54">
        <f t="shared" si="2"/>
        <v>0.10775727611124009</v>
      </c>
      <c r="J54">
        <f t="shared" si="3"/>
        <v>0.11154886850153845</v>
      </c>
      <c r="K54">
        <f t="shared" si="4"/>
        <v>0.11785909036545883</v>
      </c>
      <c r="L54">
        <f t="shared" si="5"/>
        <v>0.12043591936913622</v>
      </c>
      <c r="M54">
        <f t="shared" si="6"/>
        <v>0.12272159935677729</v>
      </c>
    </row>
    <row r="55" spans="8:13" x14ac:dyDescent="0.2">
      <c r="H55">
        <v>5100</v>
      </c>
      <c r="I55">
        <f t="shared" si="2"/>
        <v>0.10787010619551263</v>
      </c>
      <c r="J55">
        <f t="shared" si="3"/>
        <v>0.11168170622357065</v>
      </c>
      <c r="K55">
        <f t="shared" si="4"/>
        <v>0.11802964228546686</v>
      </c>
      <c r="L55">
        <f t="shared" si="5"/>
        <v>0.12062348098307396</v>
      </c>
      <c r="M55">
        <f t="shared" si="6"/>
        <v>0.12292503628224494</v>
      </c>
    </row>
    <row r="56" spans="8:13" x14ac:dyDescent="0.2">
      <c r="H56">
        <v>5200</v>
      </c>
      <c r="I56">
        <f t="shared" si="2"/>
        <v>0.10797356913600864</v>
      </c>
      <c r="J56">
        <f t="shared" si="3"/>
        <v>0.11180391782636789</v>
      </c>
      <c r="K56">
        <f t="shared" si="4"/>
        <v>0.11818734535778486</v>
      </c>
      <c r="L56">
        <f t="shared" si="5"/>
        <v>0.12079724586909824</v>
      </c>
      <c r="M56">
        <f t="shared" si="6"/>
        <v>0.12311381856628945</v>
      </c>
    </row>
    <row r="57" spans="8:13" x14ac:dyDescent="0.2">
      <c r="H57">
        <v>5300</v>
      </c>
      <c r="I57">
        <f t="shared" si="2"/>
        <v>0.1080684435457101</v>
      </c>
      <c r="J57">
        <f t="shared" si="3"/>
        <v>0.11191635461662996</v>
      </c>
      <c r="K57">
        <f t="shared" si="4"/>
        <v>0.11833316961407103</v>
      </c>
      <c r="L57">
        <f t="shared" si="5"/>
        <v>0.1209582313186367</v>
      </c>
      <c r="M57">
        <f t="shared" si="6"/>
        <v>0.12328900467401738</v>
      </c>
    </row>
    <row r="58" spans="8:13" x14ac:dyDescent="0.2">
      <c r="H58">
        <v>5400</v>
      </c>
      <c r="I58">
        <f t="shared" si="2"/>
        <v>0.10815544316642678</v>
      </c>
      <c r="J58">
        <f t="shared" si="3"/>
        <v>0.11201979950137886</v>
      </c>
      <c r="K58">
        <f t="shared" si="4"/>
        <v>0.11846801155781628</v>
      </c>
      <c r="L58">
        <f t="shared" si="5"/>
        <v>0.1211073792709918</v>
      </c>
      <c r="M58">
        <f t="shared" si="6"/>
        <v>0.12345157623091929</v>
      </c>
    </row>
    <row r="59" spans="8:13" x14ac:dyDescent="0.2">
      <c r="H59">
        <v>5500</v>
      </c>
      <c r="I59">
        <f t="shared" si="2"/>
        <v>0.10823522229768812</v>
      </c>
      <c r="J59">
        <f t="shared" si="3"/>
        <v>0.11211497251392055</v>
      </c>
      <c r="K59">
        <f t="shared" si="4"/>
        <v>0.11859269978038589</v>
      </c>
      <c r="L59">
        <f t="shared" si="5"/>
        <v>0.12124556194316427</v>
      </c>
      <c r="M59">
        <f t="shared" si="6"/>
        <v>0.12360244365492001</v>
      </c>
    </row>
    <row r="60" spans="8:13" x14ac:dyDescent="0.2">
      <c r="H60">
        <v>5600</v>
      </c>
      <c r="I60">
        <f t="shared" si="2"/>
        <v>0.10830838076749061</v>
      </c>
      <c r="J60">
        <f t="shared" si="3"/>
        <v>0.11220253588873919</v>
      </c>
      <c r="K60">
        <f t="shared" si="4"/>
        <v>0.1187080001419677</v>
      </c>
      <c r="L60">
        <f t="shared" si="5"/>
        <v>0.12137358703224377</v>
      </c>
      <c r="M60">
        <f t="shared" si="6"/>
        <v>0.12374245136820095</v>
      </c>
    </row>
    <row r="61" spans="8:13" x14ac:dyDescent="0.2">
      <c r="H61">
        <v>5700</v>
      </c>
      <c r="I61">
        <f t="shared" si="2"/>
        <v>0.10837546848416602</v>
      </c>
      <c r="J61">
        <f t="shared" si="3"/>
        <v>0.11228309872284825</v>
      </c>
      <c r="K61">
        <f t="shared" si="4"/>
        <v>0.11881462055201908</v>
      </c>
      <c r="L61">
        <f t="shared" si="5"/>
        <v>0.12149220252377158</v>
      </c>
      <c r="M61">
        <f t="shared" si="6"/>
        <v>0.12387238262116496</v>
      </c>
    </row>
    <row r="62" spans="8:13" x14ac:dyDescent="0.2">
      <c r="H62">
        <v>5800</v>
      </c>
      <c r="I62">
        <f t="shared" si="2"/>
        <v>0.10843698960517623</v>
      </c>
      <c r="J62">
        <f t="shared" si="3"/>
        <v>0.11235722125789538</v>
      </c>
      <c r="K62">
        <f t="shared" si="4"/>
        <v>0.1189132153809217</v>
      </c>
      <c r="L62">
        <f t="shared" si="5"/>
        <v>0.12160210113673553</v>
      </c>
      <c r="M62">
        <f t="shared" si="6"/>
        <v>0.12399296395828263</v>
      </c>
    </row>
    <row r="63" spans="8:13" x14ac:dyDescent="0.2">
      <c r="H63">
        <v>5900</v>
      </c>
      <c r="I63">
        <f t="shared" si="2"/>
        <v>0.10849340635550164</v>
      </c>
      <c r="J63">
        <f t="shared" si="3"/>
        <v>0.11242541881438095</v>
      </c>
      <c r="K63">
        <f t="shared" si="4"/>
        <v>0.11900438953194248</v>
      </c>
      <c r="L63">
        <f t="shared" si="5"/>
        <v>0.12170392443336198</v>
      </c>
      <c r="M63">
        <f t="shared" si="6"/>
        <v>0.12410486935316067</v>
      </c>
    </row>
    <row r="64" spans="8:13" x14ac:dyDescent="0.2">
      <c r="H64">
        <v>6000</v>
      </c>
      <c r="I64">
        <f t="shared" si="2"/>
        <v>0.1085451425254339</v>
      </c>
      <c r="J64">
        <f t="shared" si="3"/>
        <v>0.11248816540668249</v>
      </c>
      <c r="K64">
        <f t="shared" si="4"/>
        <v>0.11908870220020762</v>
      </c>
      <c r="L64">
        <f t="shared" si="5"/>
        <v>0.12179826661958471</v>
      </c>
      <c r="M64">
        <f t="shared" si="6"/>
        <v>0.12420872403798455</v>
      </c>
    </row>
    <row r="65" spans="8:13" x14ac:dyDescent="0.2">
      <c r="H65">
        <v>6100</v>
      </c>
      <c r="I65">
        <f t="shared" si="2"/>
        <v>0.10859258667499383</v>
      </c>
      <c r="J65">
        <f t="shared" si="3"/>
        <v>0.11254589706514539</v>
      </c>
      <c r="K65">
        <f t="shared" si="4"/>
        <v>0.11916667034322082</v>
      </c>
      <c r="L65">
        <f t="shared" si="5"/>
        <v>0.12188567805999417</v>
      </c>
      <c r="M65">
        <f t="shared" si="6"/>
        <v>0.12430510805048445</v>
      </c>
    </row>
    <row r="66" spans="8:13" x14ac:dyDescent="0.2">
      <c r="H66">
        <v>6200</v>
      </c>
      <c r="I66">
        <f t="shared" si="2"/>
        <v>0.10863609506983551</v>
      </c>
      <c r="J66">
        <f t="shared" si="3"/>
        <v>0.11259901488928348</v>
      </c>
      <c r="K66">
        <f t="shared" si="4"/>
        <v>0.11923877188546361</v>
      </c>
      <c r="L66">
        <f t="shared" si="5"/>
        <v>0.12196666852916138</v>
      </c>
      <c r="M66">
        <f t="shared" si="6"/>
        <v>0.12439455951974709</v>
      </c>
    </row>
    <row r="67" spans="8:13" x14ac:dyDescent="0.2">
      <c r="H67">
        <v>6300</v>
      </c>
      <c r="I67">
        <f t="shared" si="2"/>
        <v>0.108675994371351</v>
      </c>
      <c r="J67">
        <f t="shared" si="3"/>
        <v>0.11264788785411561</v>
      </c>
      <c r="K67">
        <f t="shared" si="4"/>
        <v>0.11930544867780168</v>
      </c>
      <c r="L67">
        <f t="shared" si="5"/>
        <v>0.12204171021949306</v>
      </c>
      <c r="M67">
        <f t="shared" si="6"/>
        <v>0.12447757771051771</v>
      </c>
    </row>
    <row r="68" spans="8:13" x14ac:dyDescent="0.2">
      <c r="H68">
        <v>6400</v>
      </c>
      <c r="I68">
        <f t="shared" si="2"/>
        <v>0.10871258410173357</v>
      </c>
      <c r="J68">
        <f t="shared" si="3"/>
        <v>0.11269285538981788</v>
      </c>
      <c r="K68">
        <f t="shared" si="4"/>
        <v>0.11936710923075211</v>
      </c>
      <c r="L68">
        <f t="shared" si="5"/>
        <v>0.12211124052418021</v>
      </c>
      <c r="M68">
        <f t="shared" si="6"/>
        <v>0.12455462584410371</v>
      </c>
    </row>
    <row r="69" spans="8:13" x14ac:dyDescent="0.2">
      <c r="H69">
        <v>6500</v>
      </c>
      <c r="I69">
        <f t="shared" ref="I69:I73" si="7">1 - EXP(-$I$2/$C$3 * (1 - EXP(-$C$3 * H69)))</f>
        <v>0.10874613890297857</v>
      </c>
      <c r="J69">
        <f t="shared" ref="J69:J73" si="8">1 - EXP(-$I$2/$C$4 * (1 - EXP(-$C$4 * H69)))</f>
        <v>0.11273422975318825</v>
      </c>
      <c r="K69">
        <f t="shared" ref="K69:K73" si="9">1 - EXP(-$I$2/$C$5 * (1 - EXP(-$C$5 * H69)))</f>
        <v>0.11942413123914619</v>
      </c>
      <c r="L69">
        <f t="shared" ref="L69:L73" si="10">1 - EXP(-$I$2/$C$6 * (1 - EXP(-$C$6 * H69)))</f>
        <v>0.1221756646123382</v>
      </c>
      <c r="M69">
        <f t="shared" ref="M69:M73" si="11">1 - EXP(-$I$2/$C$7 * (1 - EXP(-$C$7 * H69)))</f>
        <v>0.12462613371258435</v>
      </c>
    </row>
    <row r="70" spans="8:13" x14ac:dyDescent="0.2">
      <c r="H70">
        <v>6600</v>
      </c>
      <c r="I70">
        <f t="shared" si="7"/>
        <v>0.10877691060717298</v>
      </c>
      <c r="J70">
        <f t="shared" si="8"/>
        <v>0.11277229820788615</v>
      </c>
      <c r="K70">
        <f t="shared" si="9"/>
        <v>0.11947686391432488</v>
      </c>
      <c r="L70">
        <f t="shared" si="10"/>
        <v>0.12223535781210049</v>
      </c>
      <c r="M70">
        <f t="shared" si="11"/>
        <v>0.12469250010173771</v>
      </c>
    </row>
    <row r="71" spans="8:13" x14ac:dyDescent="0.2">
      <c r="H71">
        <v>6700</v>
      </c>
      <c r="I71">
        <f t="shared" si="7"/>
        <v>0.1088051301339471</v>
      </c>
      <c r="J71">
        <f t="shared" si="8"/>
        <v>0.11280732502899737</v>
      </c>
      <c r="K71">
        <f t="shared" si="9"/>
        <v>0.11952563013872697</v>
      </c>
      <c r="L71">
        <f t="shared" si="10"/>
        <v>0.12229066781619757</v>
      </c>
      <c r="M71">
        <f t="shared" si="11"/>
        <v>0.1247540950369127</v>
      </c>
    </row>
    <row r="72" spans="8:13" x14ac:dyDescent="0.2">
      <c r="H72">
        <v>6800</v>
      </c>
      <c r="I72">
        <f t="shared" si="7"/>
        <v>0.10883100922960642</v>
      </c>
      <c r="J72">
        <f t="shared" si="8"/>
        <v>0.11283955334619566</v>
      </c>
      <c r="K72">
        <f t="shared" si="9"/>
        <v>0.11957072845655148</v>
      </c>
      <c r="L72">
        <f t="shared" si="10"/>
        <v>0.12234191672342265</v>
      </c>
      <c r="M72">
        <f t="shared" si="11"/>
        <v>0.12481126186498293</v>
      </c>
    </row>
    <row r="73" spans="8:13" x14ac:dyDescent="0.2">
      <c r="H73">
        <v>6900</v>
      </c>
      <c r="I73">
        <f t="shared" si="7"/>
        <v>0.10885474206123147</v>
      </c>
      <c r="J73">
        <f t="shared" si="8"/>
        <v>0.1128692068385917</v>
      </c>
      <c r="K73">
        <f t="shared" si="9"/>
        <v>0.11961243491310569</v>
      </c>
      <c r="L73">
        <f t="shared" si="10"/>
        <v>0.12238940292834932</v>
      </c>
      <c r="M73">
        <f t="shared" si="11"/>
        <v>0.12486431918451724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2024-04-14T00:52:24Z</dcterms:created>
  <dcterms:modified xsi:type="dcterms:W3CDTF">2024-04-24T12:39:49Z</dcterms:modified>
</cp:coreProperties>
</file>