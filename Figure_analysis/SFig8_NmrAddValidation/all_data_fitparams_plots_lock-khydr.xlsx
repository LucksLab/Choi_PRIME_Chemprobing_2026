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7.NMR_NTP_adduction_kinetics/data/peak_analysis/"/>
    </mc:Choice>
  </mc:AlternateContent>
  <xr:revisionPtr revIDLastSave="0" documentId="13_ncr:9_{73E05DA7-EB2F-6E42-9E7C-E851D8BD1FFF}" xr6:coauthVersionLast="47" xr6:coauthVersionMax="47" xr10:uidLastSave="{00000000-0000-0000-0000-000000000000}"/>
  <bookViews>
    <workbookView xWindow="1180" yWindow="1500" windowWidth="27240" windowHeight="15280" activeTab="4" xr2:uid="{C99D74EF-3339-6949-9A91-61C565F186A2}"/>
  </bookViews>
  <sheets>
    <sheet name="all_data_fitparams" sheetId="1" r:id="rId1"/>
    <sheet name="ATP" sheetId="2" r:id="rId2"/>
    <sheet name="CTP" sheetId="3" r:id="rId3"/>
    <sheet name="GTP" sheetId="4" r:id="rId4"/>
    <sheet name="ACG_compa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 l="1"/>
  <c r="F10" i="5"/>
  <c r="F9" i="5"/>
  <c r="F8" i="5"/>
  <c r="D11" i="5"/>
  <c r="D10" i="5"/>
  <c r="D9" i="5"/>
  <c r="D8" i="5"/>
  <c r="B9" i="5"/>
  <c r="B10" i="5"/>
  <c r="B11" i="5"/>
  <c r="B8" i="5"/>
  <c r="G11" i="5"/>
  <c r="G10" i="5"/>
  <c r="G9" i="5"/>
  <c r="G8" i="5"/>
  <c r="E11" i="5"/>
  <c r="E10" i="5"/>
  <c r="E9" i="5"/>
  <c r="E8" i="5"/>
  <c r="C9" i="5"/>
  <c r="C10" i="5"/>
  <c r="C11" i="5"/>
  <c r="C8" i="5"/>
  <c r="L5" i="4"/>
  <c r="L4" i="4"/>
  <c r="L3" i="4"/>
  <c r="L2" i="4"/>
  <c r="M5" i="4"/>
  <c r="M4" i="4"/>
  <c r="M3" i="4"/>
  <c r="M2" i="4"/>
  <c r="L5" i="3"/>
  <c r="L4" i="3"/>
  <c r="L6" i="3"/>
  <c r="K6" i="3"/>
  <c r="K5" i="3"/>
  <c r="K4" i="3"/>
  <c r="K3" i="3"/>
  <c r="L3" i="3"/>
  <c r="M5" i="2"/>
  <c r="M8" i="2"/>
  <c r="M7" i="2"/>
  <c r="M6" i="2"/>
</calcChain>
</file>

<file path=xl/sharedStrings.xml><?xml version="1.0" encoding="utf-8"?>
<sst xmlns="http://schemas.openxmlformats.org/spreadsheetml/2006/main" count="223" uniqueCount="20">
  <si>
    <t>ntp</t>
  </si>
  <si>
    <t>temp</t>
  </si>
  <si>
    <t>rep</t>
  </si>
  <si>
    <t>peak</t>
  </si>
  <si>
    <t>k1</t>
  </si>
  <si>
    <t>k1_err</t>
  </si>
  <si>
    <t>k2</t>
  </si>
  <si>
    <t>k2_err</t>
  </si>
  <si>
    <t>rsq</t>
  </si>
  <si>
    <t>chisq</t>
  </si>
  <si>
    <t>lnkadd</t>
  </si>
  <si>
    <t>1/T</t>
  </si>
  <si>
    <t>ATP</t>
  </si>
  <si>
    <t>peak8</t>
  </si>
  <si>
    <t>peak8_raw</t>
  </si>
  <si>
    <t>peak6</t>
  </si>
  <si>
    <t>peak6_raw</t>
  </si>
  <si>
    <t>CTP</t>
  </si>
  <si>
    <t>GTP</t>
  </si>
  <si>
    <t>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</si>
</sst>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979440069991254E-2"/>
                  <c:y val="-0.36513998250218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ATP!$L$5:$L$8</c:f>
              <c:numCache>
                <c:formatCode>General</c:formatCode>
                <c:ptCount val="4"/>
                <c:pt idx="0">
                  <c:v>3.4112229234180402E-3</c:v>
                </c:pt>
                <c:pt idx="1">
                  <c:v>3.2242463324197901E-3</c:v>
                </c:pt>
                <c:pt idx="2">
                  <c:v>3.1730921783277798E-3</c:v>
                </c:pt>
                <c:pt idx="3">
                  <c:v>3.1138097462245001E-3</c:v>
                </c:pt>
              </c:numCache>
            </c:numRef>
          </c:xVal>
          <c:yVal>
            <c:numRef>
              <c:f>ATP!$M$5:$M$8</c:f>
              <c:numCache>
                <c:formatCode>General</c:formatCode>
                <c:ptCount val="4"/>
                <c:pt idx="0">
                  <c:v>-7.0020669143592364</c:v>
                </c:pt>
                <c:pt idx="1">
                  <c:v>-5.5224902291465368</c:v>
                </c:pt>
                <c:pt idx="2">
                  <c:v>-5.2738495978438698</c:v>
                </c:pt>
                <c:pt idx="3">
                  <c:v>-4.3311195847703301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5-9C4B-9C9F-6C7B12CA1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521279"/>
        <c:axId val="98753135"/>
      </c:scatterChart>
      <c:valAx>
        <c:axId val="207352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3135"/>
        <c:crosses val="autoZero"/>
        <c:crossBetween val="midCat"/>
      </c:valAx>
      <c:valAx>
        <c:axId val="987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2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929790026246717E-2"/>
                  <c:y val="-0.31441127150772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CTP!$K$3:$K$6</c:f>
              <c:numCache>
                <c:formatCode>General</c:formatCode>
                <c:ptCount val="4"/>
                <c:pt idx="0">
                  <c:v>3.3540164346805299E-3</c:v>
                </c:pt>
                <c:pt idx="1">
                  <c:v>3.2242463324197901E-3</c:v>
                </c:pt>
                <c:pt idx="2">
                  <c:v>3.1730921783277798E-3</c:v>
                </c:pt>
                <c:pt idx="3">
                  <c:v>3.1138097462245001E-3</c:v>
                </c:pt>
              </c:numCache>
            </c:numRef>
          </c:xVal>
          <c:yVal>
            <c:numRef>
              <c:f>CTP!$L$3:$L$6</c:f>
              <c:numCache>
                <c:formatCode>General</c:formatCode>
                <c:ptCount val="4"/>
                <c:pt idx="0">
                  <c:v>-6.6312129098550701</c:v>
                </c:pt>
                <c:pt idx="1">
                  <c:v>-5.8472710544600108</c:v>
                </c:pt>
                <c:pt idx="2" formatCode="0.00E+00">
                  <c:v>-4.1447553081037958</c:v>
                </c:pt>
                <c:pt idx="3">
                  <c:v>-3.5329438842683301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0-2246-B74F-669D9C80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61183"/>
        <c:axId val="2140988719"/>
      </c:scatterChart>
      <c:valAx>
        <c:axId val="9836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88719"/>
        <c:crosses val="autoZero"/>
        <c:crossBetween val="midCat"/>
      </c:valAx>
      <c:valAx>
        <c:axId val="21409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596456692913388E-2"/>
                  <c:y val="-0.245182268883056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GTP!$L$2:$L$5</c:f>
              <c:numCache>
                <c:formatCode>General</c:formatCode>
                <c:ptCount val="4"/>
                <c:pt idx="0">
                  <c:v>3.3540164346805299E-3</c:v>
                </c:pt>
                <c:pt idx="1">
                  <c:v>3.2663726931242798E-3</c:v>
                </c:pt>
                <c:pt idx="2">
                  <c:v>3.1730921783277798E-3</c:v>
                </c:pt>
                <c:pt idx="3">
                  <c:v>3.1138097462245001E-3</c:v>
                </c:pt>
              </c:numCache>
            </c:numRef>
          </c:xVal>
          <c:yVal>
            <c:numRef>
              <c:f>GTP!$M$2:$M$5</c:f>
              <c:numCache>
                <c:formatCode>General</c:formatCode>
                <c:ptCount val="4"/>
                <c:pt idx="0">
                  <c:v>-6.9484594618442053</c:v>
                </c:pt>
                <c:pt idx="1">
                  <c:v>-5.1473916224107343</c:v>
                </c:pt>
                <c:pt idx="2">
                  <c:v>-4.3138476789840503</c:v>
                </c:pt>
                <c:pt idx="3">
                  <c:v>-3.2055543919138501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E-174F-AFBA-3953B9DD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409407"/>
        <c:axId val="2130401919"/>
      </c:scatterChart>
      <c:valAx>
        <c:axId val="213040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01919"/>
        <c:crosses val="autoZero"/>
        <c:crossBetween val="midCat"/>
      </c:valAx>
      <c:valAx>
        <c:axId val="21304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0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ACG_compare!$B$8:$B$11</c:f>
              <c:numCache>
                <c:formatCode>General</c:formatCode>
                <c:ptCount val="4"/>
                <c:pt idx="0">
                  <c:v>-272.85684999999995</c:v>
                </c:pt>
                <c:pt idx="1">
                  <c:v>-272.83984999999996</c:v>
                </c:pt>
                <c:pt idx="2">
                  <c:v>-272.83484999999996</c:v>
                </c:pt>
                <c:pt idx="3">
                  <c:v>-272.82884999999999</c:v>
                </c:pt>
              </c:numCache>
            </c:numRef>
          </c:xVal>
          <c:yVal>
            <c:numRef>
              <c:f>ACG_compare!$C$8:$C$11</c:f>
              <c:numCache>
                <c:formatCode>General</c:formatCode>
                <c:ptCount val="4"/>
                <c:pt idx="0">
                  <c:v>9.0999913012608491E-4</c:v>
                </c:pt>
                <c:pt idx="1">
                  <c:v>3.9958848730994416E-3</c:v>
                </c:pt>
                <c:pt idx="2">
                  <c:v>5.1238478046200988E-3</c:v>
                </c:pt>
                <c:pt idx="3">
                  <c:v>1.3152813553931565E-2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15-9C4E-AEAA-E84E5878E9AA}"/>
            </c:ext>
          </c:extLst>
        </c:ser>
        <c:ser>
          <c:idx val="2"/>
          <c:order val="1"/>
          <c:spPr>
            <a:ln w="38100" cap="rnd">
              <a:noFill/>
              <a:round/>
            </a:ln>
            <a:effectLst/>
          </c:spPr>
          <c:xVal>
            <c:numRef>
              <c:f>ACG_compare!$F$8:$F$11</c:f>
              <c:numCache>
                <c:formatCode>General</c:formatCode>
                <c:ptCount val="4"/>
                <c:pt idx="0">
                  <c:v>-272.85184999999996</c:v>
                </c:pt>
                <c:pt idx="1">
                  <c:v>-272.84384999999997</c:v>
                </c:pt>
                <c:pt idx="2">
                  <c:v>-272.83484999999996</c:v>
                </c:pt>
                <c:pt idx="3">
                  <c:v>-272.82884999999999</c:v>
                </c:pt>
              </c:numCache>
            </c:numRef>
          </c:xVal>
          <c:yVal>
            <c:numRef>
              <c:f>ACG_compare!$G$8:$G$11</c:f>
              <c:numCache>
                <c:formatCode>General</c:formatCode>
                <c:ptCount val="4"/>
                <c:pt idx="0">
                  <c:v>9.6011310585432277E-4</c:v>
                </c:pt>
                <c:pt idx="1">
                  <c:v>5.814551509839617E-3</c:v>
                </c:pt>
                <c:pt idx="2">
                  <c:v>1.3381960919765575E-2</c:v>
                </c:pt>
                <c:pt idx="3">
                  <c:v>4.0536422342514852E-2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15-9C4E-AEAA-E84E5878E9AA}"/>
            </c:ext>
          </c:extLst>
        </c:ser>
        <c:ser>
          <c:idx val="0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ACG_compare!$D$8:$D$11</c:f>
              <c:numCache>
                <c:formatCode>General</c:formatCode>
                <c:ptCount val="4"/>
                <c:pt idx="0">
                  <c:v>-272.85184999999996</c:v>
                </c:pt>
                <c:pt idx="1">
                  <c:v>-272.83984999999996</c:v>
                </c:pt>
                <c:pt idx="2">
                  <c:v>-272.83484999999996</c:v>
                </c:pt>
                <c:pt idx="3">
                  <c:v>-272.82884999999999</c:v>
                </c:pt>
              </c:numCache>
            </c:numRef>
          </c:xVal>
          <c:yVal>
            <c:numRef>
              <c:f>ACG_compare!$E$8:$E$11</c:f>
              <c:numCache>
                <c:formatCode>General</c:formatCode>
                <c:ptCount val="4"/>
                <c:pt idx="0">
                  <c:v>1.318562817889848E-3</c:v>
                </c:pt>
                <c:pt idx="1">
                  <c:v>2.8877689793241328E-3</c:v>
                </c:pt>
                <c:pt idx="2">
                  <c:v>1.5847313186051041E-2</c:v>
                </c:pt>
                <c:pt idx="3">
                  <c:v>2.9218772446578358E-2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15-9C4E-AEAA-E84E5878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379599"/>
        <c:axId val="2077626447"/>
      </c:scatterChart>
      <c:valAx>
        <c:axId val="207737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26447"/>
        <c:crosses val="autoZero"/>
        <c:crossBetween val="midCat"/>
      </c:valAx>
      <c:valAx>
        <c:axId val="20776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7959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ATP</c:v>
          </c:tx>
          <c:spPr>
            <a:ln w="38100">
              <a:noFill/>
            </a:ln>
          </c:spPr>
          <c:marker>
            <c:symbol val="circle"/>
            <c:size val="6"/>
          </c:marker>
          <c:trendline>
            <c:spPr>
              <a:ln>
                <a:solidFill>
                  <a:schemeClr val="accent3"/>
                </a:solidFill>
              </a:ln>
            </c:spPr>
            <c:trendlineType val="linear"/>
            <c:dispRSqr val="0"/>
            <c:dispEq val="0"/>
          </c:trendline>
          <c:xVal>
            <c:numRef>
              <c:f>ACG_compare!$B$3:$B$6</c:f>
              <c:numCache>
                <c:formatCode>General</c:formatCode>
                <c:ptCount val="4"/>
                <c:pt idx="0">
                  <c:v>3.4112229234180402</c:v>
                </c:pt>
                <c:pt idx="1">
                  <c:v>3.2242463324197903</c:v>
                </c:pt>
                <c:pt idx="2">
                  <c:v>3.1730921783277797</c:v>
                </c:pt>
                <c:pt idx="3">
                  <c:v>3.1138097462245002</c:v>
                </c:pt>
              </c:numCache>
            </c:numRef>
          </c:xVal>
          <c:yVal>
            <c:numRef>
              <c:f>ACG_compare!$C$3:$C$6</c:f>
              <c:numCache>
                <c:formatCode>General</c:formatCode>
                <c:ptCount val="4"/>
                <c:pt idx="0">
                  <c:v>-7.0020669143592364</c:v>
                </c:pt>
                <c:pt idx="1">
                  <c:v>-5.5224902291465368</c:v>
                </c:pt>
                <c:pt idx="2">
                  <c:v>-5.2738495978438698</c:v>
                </c:pt>
                <c:pt idx="3">
                  <c:v>-4.3311195847703301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30-BB49-997E-4B144B01CA60}"/>
            </c:ext>
          </c:extLst>
        </c:ser>
        <c:ser>
          <c:idx val="1"/>
          <c:order val="1"/>
          <c:tx>
            <c:v>CTP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trendline>
            <c:spPr>
              <a:ln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ACG_compare!$D$3:$D$6</c:f>
              <c:numCache>
                <c:formatCode>General</c:formatCode>
                <c:ptCount val="4"/>
                <c:pt idx="0">
                  <c:v>3.3540164346805299</c:v>
                </c:pt>
                <c:pt idx="1">
                  <c:v>3.2242463324197903</c:v>
                </c:pt>
                <c:pt idx="2">
                  <c:v>3.1730921783277797</c:v>
                </c:pt>
                <c:pt idx="3">
                  <c:v>3.1138097462245002</c:v>
                </c:pt>
              </c:numCache>
            </c:numRef>
          </c:xVal>
          <c:yVal>
            <c:numRef>
              <c:f>ACG_compare!$E$3:$E$6</c:f>
              <c:numCache>
                <c:formatCode>General</c:formatCode>
                <c:ptCount val="4"/>
                <c:pt idx="0">
                  <c:v>-6.6312129098550701</c:v>
                </c:pt>
                <c:pt idx="1">
                  <c:v>-5.8472710544600108</c:v>
                </c:pt>
                <c:pt idx="2">
                  <c:v>-4.1447553081037958</c:v>
                </c:pt>
                <c:pt idx="3">
                  <c:v>-3.5329438842683301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30-BB49-997E-4B144B01CA60}"/>
            </c:ext>
          </c:extLst>
        </c:ser>
        <c:ser>
          <c:idx val="0"/>
          <c:order val="2"/>
          <c:tx>
            <c:v>GTP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9-9530-BB49-997E-4B144B01CA60}"/>
              </c:ext>
            </c:extLst>
          </c:dPt>
          <c:trendline>
            <c:spPr>
              <a:ln>
                <a:solidFill>
                  <a:schemeClr val="accent1"/>
                </a:solidFill>
              </a:ln>
            </c:spPr>
            <c:trendlineType val="linear"/>
            <c:dispRSqr val="0"/>
            <c:dispEq val="0"/>
          </c:trendline>
          <c:xVal>
            <c:numRef>
              <c:f>ACG_compare!$F$3:$F$6</c:f>
              <c:numCache>
                <c:formatCode>General</c:formatCode>
                <c:ptCount val="4"/>
                <c:pt idx="0">
                  <c:v>3.3540164346805299</c:v>
                </c:pt>
                <c:pt idx="1">
                  <c:v>3.2663726931242798</c:v>
                </c:pt>
                <c:pt idx="2">
                  <c:v>3.1730921783277797</c:v>
                </c:pt>
                <c:pt idx="3">
                  <c:v>3.1138097462245002</c:v>
                </c:pt>
              </c:numCache>
            </c:numRef>
          </c:xVal>
          <c:yVal>
            <c:numRef>
              <c:f>ACG_compare!$G$3:$G$6</c:f>
              <c:numCache>
                <c:formatCode>General</c:formatCode>
                <c:ptCount val="4"/>
                <c:pt idx="0">
                  <c:v>-6.9484594618442053</c:v>
                </c:pt>
                <c:pt idx="1">
                  <c:v>-5.1473916224107343</c:v>
                </c:pt>
                <c:pt idx="2">
                  <c:v>-4.3138476789840503</c:v>
                </c:pt>
                <c:pt idx="3">
                  <c:v>-3.2055543919138501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30-BB49-997E-4B144B01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947407"/>
        <c:axId val="729949135"/>
      </c:scatterChart>
      <c:valAx>
        <c:axId val="729947407"/>
        <c:scaling>
          <c:orientation val="minMax"/>
          <c:max val="3.45"/>
          <c:min val="3.1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1/T x10^-3</a:t>
                </a:r>
                <a:r>
                  <a:rPr lang="en-US" sz="1100" baseline="0"/>
                  <a:t> (K-1)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949135"/>
        <c:crosses val="autoZero"/>
        <c:crossBetween val="midCat"/>
      </c:valAx>
      <c:valAx>
        <c:axId val="729949135"/>
        <c:scaling>
          <c:orientation val="minMax"/>
          <c:max val="-3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ln(k)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947407"/>
        <c:crosses val="autoZero"/>
        <c:crossBetween val="midCat"/>
        <c:majorUnit val="1"/>
      </c:valAx>
      <c:spPr>
        <a:ln w="12700">
          <a:solidFill>
            <a:schemeClr val="tx1"/>
          </a:solidFill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8434689413823278"/>
          <c:y val="0.13310768445610965"/>
          <c:w val="0.11491141732283465"/>
          <c:h val="0.18836368110236221"/>
        </c:manualLayout>
      </c:layout>
      <c:overlay val="1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13</xdr:row>
      <xdr:rowOff>0</xdr:rowOff>
    </xdr:from>
    <xdr:to>
      <xdr:col>16</xdr:col>
      <xdr:colOff>692150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45FD0-03CC-9B74-44FF-9419757A9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8</xdr:row>
      <xdr:rowOff>114300</xdr:rowOff>
    </xdr:from>
    <xdr:to>
      <xdr:col>16</xdr:col>
      <xdr:colOff>577850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4CC58-6DA4-E97A-3377-E9B4E2925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628650</xdr:colOff>
      <xdr:row>6</xdr:row>
      <xdr:rowOff>25400</xdr:rowOff>
    </xdr:from>
    <xdr:to>
      <xdr:col>16</xdr:col>
      <xdr:colOff>247650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03270-6BD9-035C-B107-6E9189D03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4</xdr:row>
      <xdr:rowOff>177800</xdr:rowOff>
    </xdr:from>
    <xdr:to>
      <xdr:col>13</xdr:col>
      <xdr:colOff>133350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3DCC7-737F-3B69-CB03-652C06B63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184150</xdr:colOff>
      <xdr:row>4</xdr:row>
      <xdr:rowOff>139700</xdr:rowOff>
    </xdr:from>
    <xdr:to>
      <xdr:col>17</xdr:col>
      <xdr:colOff>539750</xdr:colOff>
      <xdr:row>22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A4DFB0-1D8E-D4BE-3645-420D2395A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4691-A858-7242-9564-C4682E02081E}">
  <dimension ref="A1:L45"/>
  <sheetViews>
    <sheetView topLeftCell="A22" workbookViewId="0">
      <selection activeCell="A36" sqref="A36:L4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20</v>
      </c>
      <c r="C2">
        <v>1</v>
      </c>
      <c r="D2" t="s">
        <v>13</v>
      </c>
      <c r="E2">
        <v>8.5483623142718795E-4</v>
      </c>
      <c r="F2">
        <v>1.00614266326447E-4</v>
      </c>
      <c r="G2">
        <v>1.18322778977045E-4</v>
      </c>
      <c r="H2">
        <v>0</v>
      </c>
      <c r="I2">
        <v>0.94263348102161204</v>
      </c>
      <c r="J2" s="1">
        <v>2.1060093496942102E-6</v>
      </c>
      <c r="K2">
        <v>-7.06460064956448</v>
      </c>
      <c r="L2">
        <v>3.4112229234180402E-3</v>
      </c>
    </row>
    <row r="3" spans="1:12" x14ac:dyDescent="0.2">
      <c r="A3" t="s">
        <v>12</v>
      </c>
      <c r="B3">
        <v>20</v>
      </c>
      <c r="C3">
        <v>1</v>
      </c>
      <c r="D3" t="s">
        <v>14</v>
      </c>
      <c r="E3">
        <v>2.5516615884781202E-3</v>
      </c>
      <c r="F3">
        <v>1.09347234640939E-4</v>
      </c>
      <c r="G3">
        <v>1.18322778977045E-4</v>
      </c>
      <c r="H3">
        <v>0</v>
      </c>
      <c r="I3">
        <v>0.94071899833226702</v>
      </c>
      <c r="J3" s="1">
        <v>1.37531055239361E-6</v>
      </c>
      <c r="K3">
        <v>-5.9710105286883097</v>
      </c>
      <c r="L3">
        <v>3.4112229234180402E-3</v>
      </c>
    </row>
    <row r="4" spans="1:12" x14ac:dyDescent="0.2">
      <c r="A4" t="s">
        <v>12</v>
      </c>
      <c r="B4">
        <v>20</v>
      </c>
      <c r="C4">
        <v>1</v>
      </c>
      <c r="D4" t="s">
        <v>15</v>
      </c>
      <c r="E4">
        <v>3.4547524578820601E-4</v>
      </c>
      <c r="F4" s="1">
        <v>9.9708586462409399E-5</v>
      </c>
      <c r="G4">
        <v>1.18322778977045E-4</v>
      </c>
      <c r="H4">
        <v>0</v>
      </c>
      <c r="I4">
        <v>0.94099706256661597</v>
      </c>
      <c r="J4" s="1">
        <v>2.37217246873087E-6</v>
      </c>
      <c r="K4">
        <v>-7.9705895648249196</v>
      </c>
      <c r="L4">
        <v>3.4112229234180402E-3</v>
      </c>
    </row>
    <row r="5" spans="1:12" x14ac:dyDescent="0.2">
      <c r="A5" t="s">
        <v>12</v>
      </c>
      <c r="B5">
        <v>37</v>
      </c>
      <c r="C5">
        <v>2</v>
      </c>
      <c r="D5" t="s">
        <v>13</v>
      </c>
      <c r="E5">
        <v>3.1616324068870598E-3</v>
      </c>
      <c r="F5">
        <v>1.08168615242345E-4</v>
      </c>
      <c r="G5">
        <v>8.8057885221449897E-4</v>
      </c>
      <c r="H5">
        <v>0</v>
      </c>
      <c r="I5">
        <v>0.99798645417024301</v>
      </c>
      <c r="J5" s="1">
        <v>7.6777653999566494E-8</v>
      </c>
      <c r="K5">
        <v>-5.7566668003092003</v>
      </c>
      <c r="L5">
        <v>3.2242463324197901E-3</v>
      </c>
    </row>
    <row r="6" spans="1:12" x14ac:dyDescent="0.2">
      <c r="A6" t="s">
        <v>12</v>
      </c>
      <c r="B6">
        <v>37</v>
      </c>
      <c r="C6">
        <v>1</v>
      </c>
      <c r="D6" t="s">
        <v>16</v>
      </c>
      <c r="E6">
        <v>5.3786691903416999E-3</v>
      </c>
      <c r="F6">
        <v>2.21562707920993E-4</v>
      </c>
      <c r="G6">
        <v>8.8057885221449897E-4</v>
      </c>
      <c r="H6">
        <v>0</v>
      </c>
      <c r="I6">
        <v>0.99617633923177495</v>
      </c>
      <c r="J6" s="1">
        <v>1.33154076470631E-7</v>
      </c>
      <c r="K6">
        <v>-5.2253142977975804</v>
      </c>
      <c r="L6">
        <v>3.2242463324197901E-3</v>
      </c>
    </row>
    <row r="7" spans="1:12" x14ac:dyDescent="0.2">
      <c r="A7" t="s">
        <v>12</v>
      </c>
      <c r="B7">
        <v>37</v>
      </c>
      <c r="C7">
        <v>1</v>
      </c>
      <c r="D7" t="s">
        <v>15</v>
      </c>
      <c r="E7">
        <v>3.81362344470439E-3</v>
      </c>
      <c r="F7">
        <v>1.8305816283477799E-4</v>
      </c>
      <c r="G7">
        <v>8.8057885221449897E-4</v>
      </c>
      <c r="H7">
        <v>0</v>
      </c>
      <c r="I7">
        <v>0.99735814181508398</v>
      </c>
      <c r="J7" s="1">
        <v>9.9244221233776203E-8</v>
      </c>
      <c r="K7">
        <v>-5.5691755064356396</v>
      </c>
      <c r="L7">
        <v>3.2242463324197901E-3</v>
      </c>
    </row>
    <row r="8" spans="1:12" x14ac:dyDescent="0.2">
      <c r="A8" t="s">
        <v>12</v>
      </c>
      <c r="B8">
        <v>37</v>
      </c>
      <c r="C8">
        <v>1</v>
      </c>
      <c r="D8" t="s">
        <v>13</v>
      </c>
      <c r="E8">
        <v>3.8581417580480898E-3</v>
      </c>
      <c r="F8">
        <v>1.82616438819848E-4</v>
      </c>
      <c r="G8">
        <v>8.8057885221449897E-4</v>
      </c>
      <c r="H8">
        <v>0</v>
      </c>
      <c r="I8">
        <v>0.99737319050714301</v>
      </c>
      <c r="J8" s="1">
        <v>9.8515257449260397E-8</v>
      </c>
      <c r="K8">
        <v>-5.5575696212524104</v>
      </c>
      <c r="L8">
        <v>3.2242463324197901E-3</v>
      </c>
    </row>
    <row r="9" spans="1:12" x14ac:dyDescent="0.2">
      <c r="A9" t="s">
        <v>12</v>
      </c>
      <c r="B9">
        <v>37</v>
      </c>
      <c r="C9">
        <v>2</v>
      </c>
      <c r="D9" t="s">
        <v>15</v>
      </c>
      <c r="E9">
        <v>4.0715768589163898E-3</v>
      </c>
      <c r="F9">
        <v>1.17968762876114E-4</v>
      </c>
      <c r="G9">
        <v>8.8057885221449897E-4</v>
      </c>
      <c r="H9">
        <v>0</v>
      </c>
      <c r="I9">
        <v>0.997633045156743</v>
      </c>
      <c r="J9" s="1">
        <v>8.6323170501214799E-8</v>
      </c>
      <c r="K9">
        <v>-5.5037249199378504</v>
      </c>
      <c r="L9">
        <v>3.2242463324197901E-3</v>
      </c>
    </row>
    <row r="10" spans="1:12" x14ac:dyDescent="0.2">
      <c r="A10" t="s">
        <v>12</v>
      </c>
      <c r="B10">
        <v>42</v>
      </c>
      <c r="C10">
        <v>1</v>
      </c>
      <c r="D10" t="s">
        <v>15</v>
      </c>
      <c r="E10">
        <v>5.5327051795916599E-3</v>
      </c>
      <c r="F10">
        <v>5.4574230313967796E-4</v>
      </c>
      <c r="G10">
        <v>1.52581069703856E-3</v>
      </c>
      <c r="H10">
        <v>0</v>
      </c>
      <c r="I10">
        <v>0.99408200704252003</v>
      </c>
      <c r="J10" s="1">
        <v>2.2114103649798399E-7</v>
      </c>
      <c r="K10">
        <v>-5.1970784004923702</v>
      </c>
      <c r="L10">
        <v>3.1730921783277798E-3</v>
      </c>
    </row>
    <row r="11" spans="1:12" x14ac:dyDescent="0.2">
      <c r="A11" t="s">
        <v>12</v>
      </c>
      <c r="B11">
        <v>42</v>
      </c>
      <c r="C11">
        <v>2</v>
      </c>
      <c r="D11" t="s">
        <v>13</v>
      </c>
      <c r="E11">
        <v>4.7712137750049099E-3</v>
      </c>
      <c r="F11">
        <v>7.0417134522599999E-4</v>
      </c>
      <c r="G11">
        <v>1.52581069703856E-3</v>
      </c>
      <c r="H11">
        <v>0</v>
      </c>
      <c r="I11">
        <v>0.99140350511175901</v>
      </c>
      <c r="J11" s="1">
        <v>3.3559622898482598E-7</v>
      </c>
      <c r="K11">
        <v>-5.3451545462826404</v>
      </c>
      <c r="L11">
        <v>3.1730921783277798E-3</v>
      </c>
    </row>
    <row r="12" spans="1:12" x14ac:dyDescent="0.2">
      <c r="A12" t="s">
        <v>12</v>
      </c>
      <c r="B12">
        <v>42</v>
      </c>
      <c r="C12">
        <v>2</v>
      </c>
      <c r="D12" t="s">
        <v>15</v>
      </c>
      <c r="E12">
        <v>6.2099663948138603E-3</v>
      </c>
      <c r="F12">
        <v>7.5393949516090796E-4</v>
      </c>
      <c r="G12">
        <v>1.52581069703856E-3</v>
      </c>
      <c r="H12">
        <v>0</v>
      </c>
      <c r="I12">
        <v>0.99019470759618899</v>
      </c>
      <c r="J12" s="1">
        <v>3.6696065075859501E-7</v>
      </c>
      <c r="K12">
        <v>-5.0815997945145304</v>
      </c>
      <c r="L12">
        <v>3.1730921783277798E-3</v>
      </c>
    </row>
    <row r="13" spans="1:12" x14ac:dyDescent="0.2">
      <c r="A13" t="s">
        <v>12</v>
      </c>
      <c r="B13">
        <v>42</v>
      </c>
      <c r="C13">
        <v>1</v>
      </c>
      <c r="D13" t="s">
        <v>13</v>
      </c>
      <c r="E13">
        <v>4.2046440007272199E-3</v>
      </c>
      <c r="F13">
        <v>5.0856421203826496E-4</v>
      </c>
      <c r="G13">
        <v>1.52581069703856E-3</v>
      </c>
      <c r="H13">
        <v>0</v>
      </c>
      <c r="I13">
        <v>0.99483912785223905</v>
      </c>
      <c r="J13" s="1">
        <v>2.0088175768481899E-7</v>
      </c>
      <c r="K13">
        <v>-5.4715656500859398</v>
      </c>
      <c r="L13">
        <v>3.1730921783277798E-3</v>
      </c>
    </row>
    <row r="14" spans="1:12" x14ac:dyDescent="0.2">
      <c r="A14" t="s">
        <v>12</v>
      </c>
      <c r="B14">
        <v>48</v>
      </c>
      <c r="C14">
        <v>1</v>
      </c>
      <c r="D14" t="s">
        <v>15</v>
      </c>
      <c r="E14">
        <v>6.3150745062783998E-3</v>
      </c>
      <c r="F14">
        <v>1.19322448110967E-3</v>
      </c>
      <c r="G14">
        <v>2.8860812451302902E-3</v>
      </c>
      <c r="H14">
        <v>0</v>
      </c>
      <c r="I14">
        <v>0.99319575284177797</v>
      </c>
      <c r="J14" s="1">
        <v>2.8183892177310703E-7</v>
      </c>
      <c r="K14">
        <v>-5.0648157249470804</v>
      </c>
      <c r="L14">
        <v>3.1138097462245001E-3</v>
      </c>
    </row>
    <row r="15" spans="1:12" x14ac:dyDescent="0.2">
      <c r="A15" t="s">
        <v>12</v>
      </c>
      <c r="B15">
        <v>48</v>
      </c>
      <c r="C15">
        <v>1</v>
      </c>
      <c r="D15" t="s">
        <v>13</v>
      </c>
      <c r="E15">
        <v>1.06363036065725E-2</v>
      </c>
      <c r="F15">
        <v>1.3402293626707501E-3</v>
      </c>
      <c r="G15">
        <v>2.8860812451302902E-3</v>
      </c>
      <c r="H15">
        <v>0</v>
      </c>
      <c r="I15">
        <v>0.99153169051276402</v>
      </c>
      <c r="J15" s="1">
        <v>3.2807505244363399E-7</v>
      </c>
      <c r="K15">
        <v>-4.5434822608251801</v>
      </c>
      <c r="L15">
        <v>3.1138097462245001E-3</v>
      </c>
    </row>
    <row r="16" spans="1:12" x14ac:dyDescent="0.2">
      <c r="A16" t="s">
        <v>12</v>
      </c>
      <c r="B16">
        <v>48</v>
      </c>
      <c r="C16">
        <v>2</v>
      </c>
      <c r="D16" t="s">
        <v>15</v>
      </c>
      <c r="E16">
        <v>2.24257300144286E-3</v>
      </c>
      <c r="F16">
        <v>8.9245341312242405E-4</v>
      </c>
      <c r="G16">
        <v>2.8860812451302902E-3</v>
      </c>
      <c r="H16">
        <v>0</v>
      </c>
      <c r="I16">
        <v>0.99600888231658802</v>
      </c>
      <c r="J16" s="1">
        <v>1.75549771458299E-7</v>
      </c>
      <c r="K16">
        <v>-6.1001314109634697</v>
      </c>
      <c r="L16">
        <v>3.1138097462245001E-3</v>
      </c>
    </row>
    <row r="17" spans="1:12" x14ac:dyDescent="0.2">
      <c r="A17" t="s">
        <v>12</v>
      </c>
      <c r="B17">
        <v>48</v>
      </c>
      <c r="C17">
        <v>1</v>
      </c>
      <c r="D17" t="s">
        <v>16</v>
      </c>
      <c r="E17">
        <v>1.2685801331778801E-2</v>
      </c>
      <c r="F17">
        <v>1.3975380570281099E-3</v>
      </c>
      <c r="G17">
        <v>2.8860812451302902E-3</v>
      </c>
      <c r="H17">
        <v>0</v>
      </c>
      <c r="I17">
        <v>0.99082186465875999</v>
      </c>
      <c r="J17" s="1">
        <v>3.4368281685740102E-7</v>
      </c>
      <c r="K17">
        <v>-4.3672719163235403</v>
      </c>
      <c r="L17">
        <v>3.1138097462245001E-3</v>
      </c>
    </row>
    <row r="18" spans="1:12" x14ac:dyDescent="0.2">
      <c r="A18" t="s">
        <v>12</v>
      </c>
      <c r="B18">
        <v>48</v>
      </c>
      <c r="C18">
        <v>2</v>
      </c>
      <c r="D18" t="s">
        <v>16</v>
      </c>
      <c r="E18">
        <v>1.68634861526573E-2</v>
      </c>
      <c r="F18">
        <v>1.28591766095393E-3</v>
      </c>
      <c r="G18">
        <v>2.8860812451302902E-3</v>
      </c>
      <c r="H18">
        <v>0</v>
      </c>
      <c r="I18">
        <v>0.99200240492511405</v>
      </c>
      <c r="J18" s="1">
        <v>2.77127991733201E-7</v>
      </c>
      <c r="K18">
        <v>-4.0826045771622699</v>
      </c>
      <c r="L18">
        <v>3.1138097462245001E-3</v>
      </c>
    </row>
    <row r="19" spans="1:12" x14ac:dyDescent="0.2">
      <c r="A19" t="s">
        <v>17</v>
      </c>
      <c r="B19">
        <v>25</v>
      </c>
      <c r="C19">
        <v>1</v>
      </c>
      <c r="D19" t="s">
        <v>13</v>
      </c>
      <c r="E19">
        <v>1.13917437144617E-3</v>
      </c>
      <c r="F19" s="1">
        <v>2.9098540366028099E-5</v>
      </c>
      <c r="G19">
        <v>2.18586914009876E-4</v>
      </c>
      <c r="H19">
        <v>0</v>
      </c>
      <c r="I19">
        <v>0.99827544206360896</v>
      </c>
      <c r="J19" s="1">
        <v>5.65550382111571E-8</v>
      </c>
      <c r="K19">
        <v>-6.7774515145345404</v>
      </c>
      <c r="L19">
        <v>3.3540164346805299E-3</v>
      </c>
    </row>
    <row r="20" spans="1:12" x14ac:dyDescent="0.2">
      <c r="A20" t="s">
        <v>17</v>
      </c>
      <c r="B20">
        <v>25</v>
      </c>
      <c r="C20">
        <v>1</v>
      </c>
      <c r="D20" t="s">
        <v>14</v>
      </c>
      <c r="E20">
        <v>1.5269447028831999E-3</v>
      </c>
      <c r="F20" s="1">
        <v>3.3690854996797101E-5</v>
      </c>
      <c r="G20">
        <v>2.18586914009876E-4</v>
      </c>
      <c r="H20">
        <v>0</v>
      </c>
      <c r="I20">
        <v>0.99773787505434297</v>
      </c>
      <c r="J20" s="1">
        <v>6.9404995329433202E-8</v>
      </c>
      <c r="K20">
        <v>-6.4844864663134496</v>
      </c>
      <c r="L20">
        <v>3.3540164346805299E-3</v>
      </c>
    </row>
    <row r="21" spans="1:12" x14ac:dyDescent="0.2">
      <c r="A21" t="s">
        <v>17</v>
      </c>
      <c r="B21">
        <v>25</v>
      </c>
      <c r="C21">
        <v>1</v>
      </c>
      <c r="D21" t="s">
        <v>15</v>
      </c>
      <c r="E21">
        <v>1.3179197285798101E-3</v>
      </c>
      <c r="F21" s="1">
        <v>3.1820841296364398E-5</v>
      </c>
      <c r="G21">
        <v>2.18586914009876E-4</v>
      </c>
      <c r="H21">
        <v>0</v>
      </c>
      <c r="I21">
        <v>0.99804056589466805</v>
      </c>
      <c r="J21" s="1">
        <v>6.2895141861343096E-8</v>
      </c>
      <c r="K21">
        <v>-6.6317007487172202</v>
      </c>
      <c r="L21">
        <v>3.3540164346805299E-3</v>
      </c>
    </row>
    <row r="22" spans="1:12" x14ac:dyDescent="0.2">
      <c r="A22" t="s">
        <v>17</v>
      </c>
      <c r="B22">
        <v>37</v>
      </c>
      <c r="C22">
        <v>2</v>
      </c>
      <c r="D22" t="s">
        <v>13</v>
      </c>
      <c r="E22">
        <v>2.82252704613873E-3</v>
      </c>
      <c r="F22">
        <v>1.4688131317234699E-4</v>
      </c>
      <c r="G22">
        <v>8.8057885221449897E-4</v>
      </c>
      <c r="H22">
        <v>0</v>
      </c>
      <c r="I22">
        <v>0.99833050660478395</v>
      </c>
      <c r="J22" s="1">
        <v>5.6971454377035303E-8</v>
      </c>
      <c r="K22">
        <v>-5.8701226796519999</v>
      </c>
      <c r="L22">
        <v>3.2242463324197901E-3</v>
      </c>
    </row>
    <row r="23" spans="1:12" x14ac:dyDescent="0.2">
      <c r="A23" t="s">
        <v>17</v>
      </c>
      <c r="B23">
        <v>37</v>
      </c>
      <c r="C23">
        <v>1</v>
      </c>
      <c r="D23" t="s">
        <v>15</v>
      </c>
      <c r="E23">
        <v>2.9128280239836199E-3</v>
      </c>
      <c r="F23">
        <v>2.4093260167727199E-4</v>
      </c>
      <c r="G23">
        <v>8.8057885221449897E-4</v>
      </c>
      <c r="H23">
        <v>0</v>
      </c>
      <c r="I23">
        <v>0.99546805822920903</v>
      </c>
      <c r="J23" s="1">
        <v>1.5339435243521801E-7</v>
      </c>
      <c r="K23">
        <v>-5.8386308401717004</v>
      </c>
      <c r="L23">
        <v>3.2242463324197901E-3</v>
      </c>
    </row>
    <row r="24" spans="1:12" x14ac:dyDescent="0.2">
      <c r="A24" t="s">
        <v>17</v>
      </c>
      <c r="B24">
        <v>37</v>
      </c>
      <c r="C24">
        <v>1</v>
      </c>
      <c r="D24" t="s">
        <v>13</v>
      </c>
      <c r="E24">
        <v>3.1323557474478201E-3</v>
      </c>
      <c r="F24">
        <v>2.4557821070390602E-4</v>
      </c>
      <c r="G24">
        <v>8.8057885221449897E-4</v>
      </c>
      <c r="H24">
        <v>0</v>
      </c>
      <c r="I24">
        <v>0.99530166626850802</v>
      </c>
      <c r="J24" s="1">
        <v>1.5742032421642099E-7</v>
      </c>
      <c r="K24">
        <v>-5.7659699225503802</v>
      </c>
      <c r="L24">
        <v>3.2242463324197901E-3</v>
      </c>
    </row>
    <row r="25" spans="1:12" x14ac:dyDescent="0.2">
      <c r="A25" t="s">
        <v>17</v>
      </c>
      <c r="B25">
        <v>37</v>
      </c>
      <c r="C25">
        <v>2</v>
      </c>
      <c r="D25" t="s">
        <v>15</v>
      </c>
      <c r="E25">
        <v>2.7003853998694102E-3</v>
      </c>
      <c r="F25">
        <v>1.4384392900260501E-4</v>
      </c>
      <c r="G25">
        <v>8.8057885221449897E-4</v>
      </c>
      <c r="H25">
        <v>0</v>
      </c>
      <c r="I25">
        <v>0.99839724922088102</v>
      </c>
      <c r="J25" s="1">
        <v>5.5016045700464701E-8</v>
      </c>
      <c r="K25">
        <v>-5.9143607754659602</v>
      </c>
      <c r="L25">
        <v>3.2242463324197901E-3</v>
      </c>
    </row>
    <row r="26" spans="1:12" x14ac:dyDescent="0.2">
      <c r="A26" t="s">
        <v>17</v>
      </c>
      <c r="B26">
        <v>42</v>
      </c>
      <c r="C26">
        <v>2</v>
      </c>
      <c r="D26" t="s">
        <v>16</v>
      </c>
      <c r="E26">
        <v>4.8047773576403698E-2</v>
      </c>
      <c r="F26">
        <v>3.9831864434303199E-4</v>
      </c>
      <c r="G26">
        <v>1.52581069703856E-3</v>
      </c>
      <c r="H26">
        <v>0</v>
      </c>
      <c r="I26">
        <v>0.99763178013652998</v>
      </c>
      <c r="J26" s="1">
        <v>2.9599146227431602E-8</v>
      </c>
      <c r="K26">
        <v>-3.0355594801980699</v>
      </c>
      <c r="L26">
        <v>3.1730921783277798E-3</v>
      </c>
    </row>
    <row r="27" spans="1:12" x14ac:dyDescent="0.2">
      <c r="A27" t="s">
        <v>17</v>
      </c>
      <c r="B27">
        <v>42</v>
      </c>
      <c r="C27">
        <v>2</v>
      </c>
      <c r="D27" t="s">
        <v>13</v>
      </c>
      <c r="E27">
        <v>5.9065851845100997E-3</v>
      </c>
      <c r="F27">
        <v>5.7172458879401302E-4</v>
      </c>
      <c r="G27">
        <v>1.52581069703856E-3</v>
      </c>
      <c r="H27">
        <v>0</v>
      </c>
      <c r="I27">
        <v>0.99459447682776603</v>
      </c>
      <c r="J27" s="1">
        <v>1.83715587049422E-7</v>
      </c>
      <c r="K27">
        <v>-5.1316874175159599</v>
      </c>
      <c r="L27">
        <v>3.1730921783277798E-3</v>
      </c>
    </row>
    <row r="28" spans="1:12" x14ac:dyDescent="0.2">
      <c r="A28" t="s">
        <v>17</v>
      </c>
      <c r="B28">
        <v>42</v>
      </c>
      <c r="C28">
        <v>2</v>
      </c>
      <c r="D28" t="s">
        <v>14</v>
      </c>
      <c r="E28">
        <v>4.2397477401662199E-2</v>
      </c>
      <c r="F28">
        <v>4.3894826249968999E-4</v>
      </c>
      <c r="G28">
        <v>1.52581069703856E-3</v>
      </c>
      <c r="H28">
        <v>0</v>
      </c>
      <c r="I28">
        <v>0.99703412802404101</v>
      </c>
      <c r="J28" s="1">
        <v>4.0802676571948999E-8</v>
      </c>
      <c r="K28">
        <v>-3.1606664137579501</v>
      </c>
      <c r="L28">
        <v>3.1730921783277798E-3</v>
      </c>
    </row>
    <row r="29" spans="1:12" x14ac:dyDescent="0.2">
      <c r="A29" t="s">
        <v>17</v>
      </c>
      <c r="B29">
        <v>42</v>
      </c>
      <c r="C29">
        <v>1</v>
      </c>
      <c r="D29" t="s">
        <v>14</v>
      </c>
      <c r="E29">
        <v>2.1553510645383699E-2</v>
      </c>
      <c r="F29">
        <v>6.7748982963291497E-4</v>
      </c>
      <c r="G29">
        <v>1.52581069703856E-3</v>
      </c>
      <c r="H29">
        <v>0</v>
      </c>
      <c r="I29">
        <v>0.99332370572365203</v>
      </c>
      <c r="J29" s="1">
        <v>1.6047243104152101E-7</v>
      </c>
      <c r="K29">
        <v>-3.8372165687219102</v>
      </c>
      <c r="L29">
        <v>3.1730921783277798E-3</v>
      </c>
    </row>
    <row r="30" spans="1:12" x14ac:dyDescent="0.2">
      <c r="A30" t="s">
        <v>17</v>
      </c>
      <c r="B30">
        <v>42</v>
      </c>
      <c r="C30">
        <v>2</v>
      </c>
      <c r="D30" t="s">
        <v>15</v>
      </c>
      <c r="E30">
        <v>7.6340669750655102E-3</v>
      </c>
      <c r="F30">
        <v>5.9543302811266696E-4</v>
      </c>
      <c r="G30">
        <v>1.52581069703856E-3</v>
      </c>
      <c r="H30">
        <v>0</v>
      </c>
      <c r="I30">
        <v>0.995054973876907</v>
      </c>
      <c r="J30" s="1">
        <v>1.66705814823046E-7</v>
      </c>
      <c r="K30">
        <v>-4.8751345514377498</v>
      </c>
      <c r="L30">
        <v>3.1730921783277798E-3</v>
      </c>
    </row>
    <row r="31" spans="1:12" x14ac:dyDescent="0.2">
      <c r="A31" t="s">
        <v>17</v>
      </c>
      <c r="B31">
        <v>42</v>
      </c>
      <c r="C31">
        <v>1</v>
      </c>
      <c r="D31" t="s">
        <v>13</v>
      </c>
      <c r="E31">
        <v>8.0003705710717295E-3</v>
      </c>
      <c r="F31">
        <v>7.4105063672617996E-4</v>
      </c>
      <c r="G31">
        <v>1.52581069703856E-3</v>
      </c>
      <c r="H31">
        <v>0</v>
      </c>
      <c r="I31">
        <v>0.99150950588770403</v>
      </c>
      <c r="J31" s="1">
        <v>2.8338068163946601E-7</v>
      </c>
      <c r="K31">
        <v>-4.8282674169911299</v>
      </c>
      <c r="L31">
        <v>3.1730921783277798E-3</v>
      </c>
    </row>
    <row r="32" spans="1:12" x14ac:dyDescent="0.2">
      <c r="A32" t="s">
        <v>17</v>
      </c>
      <c r="B32">
        <v>48</v>
      </c>
      <c r="C32">
        <v>2</v>
      </c>
      <c r="D32" t="s">
        <v>13</v>
      </c>
      <c r="E32">
        <v>2.0800839940910799E-2</v>
      </c>
      <c r="F32">
        <v>8.4185502691302299E-4</v>
      </c>
      <c r="G32">
        <v>2.8860812451302902E-3</v>
      </c>
      <c r="H32">
        <v>0</v>
      </c>
      <c r="I32">
        <v>0.99775131342178103</v>
      </c>
      <c r="J32" s="1">
        <v>6.8127000899825201E-8</v>
      </c>
      <c r="K32">
        <v>-3.87276191131562</v>
      </c>
      <c r="L32">
        <v>3.1138097462245001E-3</v>
      </c>
    </row>
    <row r="33" spans="1:12" x14ac:dyDescent="0.2">
      <c r="A33" t="s">
        <v>17</v>
      </c>
      <c r="B33">
        <v>48</v>
      </c>
      <c r="C33">
        <v>2</v>
      </c>
      <c r="D33" t="s">
        <v>14</v>
      </c>
      <c r="E33">
        <v>4.1043374484402401E-2</v>
      </c>
      <c r="F33">
        <v>1.6856529238986799E-3</v>
      </c>
      <c r="G33">
        <v>2.8860812451302902E-3</v>
      </c>
      <c r="H33">
        <v>0</v>
      </c>
      <c r="I33">
        <v>0.99117598643731197</v>
      </c>
      <c r="J33" s="1">
        <v>2.0051408114818399E-7</v>
      </c>
      <c r="K33">
        <v>-3.1931258572210401</v>
      </c>
      <c r="L33">
        <v>3.1138097462245001E-3</v>
      </c>
    </row>
    <row r="34" spans="1:12" x14ac:dyDescent="0.2">
      <c r="A34" t="s">
        <v>17</v>
      </c>
      <c r="B34">
        <v>48</v>
      </c>
      <c r="C34">
        <v>1</v>
      </c>
      <c r="D34" t="s">
        <v>15</v>
      </c>
      <c r="E34">
        <v>7.3516908890014603E-3</v>
      </c>
      <c r="F34">
        <v>1.204179317145E-3</v>
      </c>
      <c r="G34">
        <v>2.8860812451302902E-3</v>
      </c>
      <c r="H34">
        <v>0</v>
      </c>
      <c r="I34">
        <v>0.99283880607404196</v>
      </c>
      <c r="J34" s="1">
        <v>2.44539852546051E-7</v>
      </c>
      <c r="K34">
        <v>-4.9128249392901298</v>
      </c>
      <c r="L34">
        <v>3.1138097462245001E-3</v>
      </c>
    </row>
    <row r="35" spans="1:12" x14ac:dyDescent="0.2">
      <c r="A35" t="s">
        <v>17</v>
      </c>
      <c r="B35">
        <v>48</v>
      </c>
      <c r="C35">
        <v>1</v>
      </c>
      <c r="D35" t="s">
        <v>13</v>
      </c>
      <c r="E35">
        <v>9.3014601549234899E-3</v>
      </c>
      <c r="F35">
        <v>1.25997737878564E-3</v>
      </c>
      <c r="G35">
        <v>2.8860812451302902E-3</v>
      </c>
      <c r="H35">
        <v>0</v>
      </c>
      <c r="I35">
        <v>0.99218759220583996</v>
      </c>
      <c r="J35" s="1">
        <v>2.5840520936001699E-7</v>
      </c>
      <c r="K35">
        <v>-4.6775838852413099</v>
      </c>
      <c r="L35">
        <v>3.1138097462245001E-3</v>
      </c>
    </row>
    <row r="36" spans="1:12" x14ac:dyDescent="0.2">
      <c r="A36" t="s">
        <v>18</v>
      </c>
      <c r="B36">
        <v>25</v>
      </c>
      <c r="C36">
        <v>1</v>
      </c>
      <c r="D36" t="s">
        <v>13</v>
      </c>
      <c r="E36">
        <v>2.37428407805872E-3</v>
      </c>
      <c r="F36">
        <v>2.5373394550168402E-4</v>
      </c>
      <c r="G36">
        <v>2.18586914009876E-4</v>
      </c>
      <c r="H36">
        <v>0</v>
      </c>
      <c r="I36">
        <v>0.87500880842419604</v>
      </c>
      <c r="J36" s="1">
        <v>2.4535580046859699E-6</v>
      </c>
      <c r="K36">
        <v>-6.0430593277553202</v>
      </c>
      <c r="L36">
        <v>3.3540164346805299E-3</v>
      </c>
    </row>
    <row r="37" spans="1:12" x14ac:dyDescent="0.2">
      <c r="A37" t="s">
        <v>18</v>
      </c>
      <c r="B37">
        <v>25</v>
      </c>
      <c r="C37">
        <v>1</v>
      </c>
      <c r="D37" t="s">
        <v>15</v>
      </c>
      <c r="E37">
        <v>3.8825058237636299E-4</v>
      </c>
      <c r="F37">
        <v>2.21645067158555E-4</v>
      </c>
      <c r="G37">
        <v>2.18586914009876E-4</v>
      </c>
      <c r="H37">
        <v>0</v>
      </c>
      <c r="I37">
        <v>0.89624129567243604</v>
      </c>
      <c r="J37" s="1">
        <v>2.8675558241598098E-6</v>
      </c>
      <c r="K37">
        <v>-7.8538595959330904</v>
      </c>
      <c r="L37">
        <v>3.3540164346805299E-3</v>
      </c>
    </row>
    <row r="38" spans="1:12" x14ac:dyDescent="0.2">
      <c r="A38" t="s">
        <v>18</v>
      </c>
      <c r="B38">
        <v>33</v>
      </c>
      <c r="C38">
        <v>1</v>
      </c>
      <c r="D38" t="s">
        <v>14</v>
      </c>
      <c r="E38">
        <v>7.8984880611088302E-3</v>
      </c>
      <c r="F38" s="1">
        <v>9.1253083455937001E-5</v>
      </c>
      <c r="G38">
        <v>5.6008003325776505E-4</v>
      </c>
      <c r="H38">
        <v>0</v>
      </c>
      <c r="I38">
        <v>0.998980989881875</v>
      </c>
      <c r="J38" s="1">
        <v>1.5339972401938201E-8</v>
      </c>
      <c r="K38">
        <v>-4.8410839224953097</v>
      </c>
      <c r="L38">
        <v>3.2663726931242798E-3</v>
      </c>
    </row>
    <row r="39" spans="1:12" x14ac:dyDescent="0.2">
      <c r="A39" t="s">
        <v>18</v>
      </c>
      <c r="B39">
        <v>33</v>
      </c>
      <c r="C39">
        <v>1</v>
      </c>
      <c r="D39" t="s">
        <v>13</v>
      </c>
      <c r="E39">
        <v>4.0263873529893697E-3</v>
      </c>
      <c r="F39" s="1">
        <v>1.8892821014266698E-5</v>
      </c>
      <c r="G39">
        <v>5.6008003325776505E-4</v>
      </c>
      <c r="H39">
        <v>0</v>
      </c>
      <c r="I39">
        <v>0.99995700925458597</v>
      </c>
      <c r="J39" s="1">
        <v>8.7433784138438405E-10</v>
      </c>
      <c r="K39">
        <v>-5.5148857435289598</v>
      </c>
      <c r="L39">
        <v>3.2663726931242798E-3</v>
      </c>
    </row>
    <row r="40" spans="1:12" x14ac:dyDescent="0.2">
      <c r="A40" t="s">
        <v>18</v>
      </c>
      <c r="B40">
        <v>33</v>
      </c>
      <c r="C40">
        <v>1</v>
      </c>
      <c r="D40" t="s">
        <v>15</v>
      </c>
      <c r="E40">
        <v>6.3656901038199199E-3</v>
      </c>
      <c r="F40" s="1">
        <v>5.59999965202783E-5</v>
      </c>
      <c r="G40">
        <v>5.6008003325776505E-4</v>
      </c>
      <c r="H40">
        <v>0</v>
      </c>
      <c r="I40">
        <v>0.99961849522365198</v>
      </c>
      <c r="J40" s="1">
        <v>6.4469678902949499E-9</v>
      </c>
      <c r="K40">
        <v>-5.0568326311971896</v>
      </c>
      <c r="L40">
        <v>3.2663726931242798E-3</v>
      </c>
    </row>
    <row r="41" spans="1:12" x14ac:dyDescent="0.2">
      <c r="A41" t="s">
        <v>18</v>
      </c>
      <c r="B41">
        <v>33</v>
      </c>
      <c r="C41">
        <v>1</v>
      </c>
      <c r="D41" t="s">
        <v>16</v>
      </c>
      <c r="E41">
        <v>5.6462470558990797E-3</v>
      </c>
      <c r="F41" s="1">
        <v>3.8561509155215899E-5</v>
      </c>
      <c r="G41">
        <v>5.6008003325776505E-4</v>
      </c>
      <c r="H41">
        <v>0</v>
      </c>
      <c r="I41">
        <v>0.99982006474059404</v>
      </c>
      <c r="J41" s="1">
        <v>3.2228657680678199E-9</v>
      </c>
      <c r="K41">
        <v>-5.17676419242148</v>
      </c>
      <c r="L41">
        <v>3.2663726931242798E-3</v>
      </c>
    </row>
    <row r="42" spans="1:12" x14ac:dyDescent="0.2">
      <c r="A42" t="s">
        <v>18</v>
      </c>
      <c r="B42">
        <v>42</v>
      </c>
      <c r="C42">
        <v>1</v>
      </c>
      <c r="D42" t="s">
        <v>15</v>
      </c>
      <c r="E42">
        <v>1.60421422713212E-2</v>
      </c>
      <c r="F42">
        <v>1.8275152597253799E-3</v>
      </c>
      <c r="G42">
        <v>1.52581069703856E-3</v>
      </c>
      <c r="H42">
        <v>0</v>
      </c>
      <c r="I42">
        <v>0.93645028000562702</v>
      </c>
      <c r="J42" s="1">
        <v>1.16988922791865E-6</v>
      </c>
      <c r="K42">
        <v>-4.1325361273994199</v>
      </c>
      <c r="L42">
        <v>3.1730921783277798E-3</v>
      </c>
    </row>
    <row r="43" spans="1:12" x14ac:dyDescent="0.2">
      <c r="A43" t="s">
        <v>18</v>
      </c>
      <c r="B43">
        <v>42</v>
      </c>
      <c r="C43">
        <v>1</v>
      </c>
      <c r="D43" t="s">
        <v>13</v>
      </c>
      <c r="E43">
        <v>1.1162902998202899E-2</v>
      </c>
      <c r="F43">
        <v>1.6903508600409E-3</v>
      </c>
      <c r="G43">
        <v>1.52581069703856E-3</v>
      </c>
      <c r="H43">
        <v>0</v>
      </c>
      <c r="I43">
        <v>0.945118027317986</v>
      </c>
      <c r="J43" s="1">
        <v>1.15505283914462E-6</v>
      </c>
      <c r="K43">
        <v>-4.4951592305686798</v>
      </c>
      <c r="L43">
        <v>3.1730921783277798E-3</v>
      </c>
    </row>
    <row r="44" spans="1:12" x14ac:dyDescent="0.2">
      <c r="A44" t="s">
        <v>18</v>
      </c>
      <c r="B44">
        <v>48</v>
      </c>
      <c r="C44">
        <v>1</v>
      </c>
      <c r="D44" t="s">
        <v>13</v>
      </c>
      <c r="E44">
        <v>4.05364223425147E-2</v>
      </c>
      <c r="F44">
        <v>2.66989795325404E-3</v>
      </c>
      <c r="G44">
        <v>2.8860812451302902E-3</v>
      </c>
      <c r="H44">
        <v>0</v>
      </c>
      <c r="I44">
        <v>0.96447106935650995</v>
      </c>
      <c r="J44" s="1">
        <v>5.2554102441144704E-7</v>
      </c>
      <c r="K44">
        <v>-3.2055543919138501</v>
      </c>
      <c r="L44">
        <v>3.1138097462245001E-3</v>
      </c>
    </row>
    <row r="45" spans="1:12" x14ac:dyDescent="0.2">
      <c r="A45" t="s">
        <v>19</v>
      </c>
      <c r="B45">
        <v>20</v>
      </c>
      <c r="C45">
        <v>1</v>
      </c>
      <c r="D45" t="s">
        <v>14</v>
      </c>
      <c r="E45">
        <v>-1.4423200729743799E-4</v>
      </c>
      <c r="F45" s="1">
        <v>8.2586353156288405E-5</v>
      </c>
      <c r="G45">
        <v>1.18322778977045E-4</v>
      </c>
      <c r="H45">
        <v>0</v>
      </c>
      <c r="I45">
        <v>0.90890660725013295</v>
      </c>
      <c r="J45" s="1">
        <v>3.3213979719162699E-6</v>
      </c>
      <c r="L45">
        <v>3.4112229234180402E-3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CD0A-C22D-4F4D-B21F-AD4DCCDBCEAE}">
  <dimension ref="A1:M18"/>
  <sheetViews>
    <sheetView workbookViewId="0">
      <selection activeCell="L5" sqref="L5:M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</row>
    <row r="2" spans="1:13" x14ac:dyDescent="0.2">
      <c r="A2" t="s">
        <v>12</v>
      </c>
      <c r="B2">
        <v>20</v>
      </c>
      <c r="C2">
        <v>1</v>
      </c>
      <c r="D2" t="s">
        <v>13</v>
      </c>
      <c r="E2">
        <v>8.5483623142718795E-4</v>
      </c>
      <c r="F2">
        <v>1.00614266326447E-4</v>
      </c>
      <c r="G2">
        <v>0.94263348102161204</v>
      </c>
      <c r="H2" s="1">
        <v>2.1060093496942102E-6</v>
      </c>
      <c r="I2">
        <v>-7.06460064956448</v>
      </c>
      <c r="J2">
        <v>3.4112229234180402E-3</v>
      </c>
    </row>
    <row r="3" spans="1:13" x14ac:dyDescent="0.2">
      <c r="A3" t="s">
        <v>12</v>
      </c>
      <c r="B3">
        <v>20</v>
      </c>
      <c r="C3">
        <v>1</v>
      </c>
      <c r="D3" t="s">
        <v>14</v>
      </c>
      <c r="E3">
        <v>2.5516615884781202E-3</v>
      </c>
      <c r="F3">
        <v>1.09347234640939E-4</v>
      </c>
      <c r="G3">
        <v>0.94071899833226702</v>
      </c>
      <c r="H3" s="1">
        <v>1.37531055239361E-6</v>
      </c>
      <c r="I3">
        <v>-5.9710105286883097</v>
      </c>
      <c r="J3">
        <v>3.4112229234180402E-3</v>
      </c>
    </row>
    <row r="4" spans="1:13" x14ac:dyDescent="0.2">
      <c r="A4" t="s">
        <v>12</v>
      </c>
      <c r="B4">
        <v>20</v>
      </c>
      <c r="C4">
        <v>1</v>
      </c>
      <c r="D4" t="s">
        <v>15</v>
      </c>
      <c r="E4">
        <v>3.4547524578820601E-4</v>
      </c>
      <c r="F4" s="1">
        <v>9.9708586462409399E-5</v>
      </c>
      <c r="G4">
        <v>0.94099706256661597</v>
      </c>
      <c r="H4" s="1">
        <v>2.37217246873087E-6</v>
      </c>
      <c r="I4">
        <v>-7.9705895648249196</v>
      </c>
      <c r="J4">
        <v>3.4112229234180402E-3</v>
      </c>
    </row>
    <row r="5" spans="1:13" x14ac:dyDescent="0.2">
      <c r="A5" t="s">
        <v>12</v>
      </c>
      <c r="B5">
        <v>37</v>
      </c>
      <c r="C5">
        <v>2</v>
      </c>
      <c r="D5" t="s">
        <v>13</v>
      </c>
      <c r="E5">
        <v>3.1616324068870598E-3</v>
      </c>
      <c r="F5">
        <v>1.08168615242345E-4</v>
      </c>
      <c r="G5">
        <v>0.99798645417024301</v>
      </c>
      <c r="H5" s="1">
        <v>7.6777653999566494E-8</v>
      </c>
      <c r="I5">
        <v>-5.7566668003092003</v>
      </c>
      <c r="J5">
        <v>3.2242463324197901E-3</v>
      </c>
      <c r="L5">
        <v>3.4112229234180402E-3</v>
      </c>
      <c r="M5">
        <f>AVERAGE(I2:I4)</f>
        <v>-7.0020669143592364</v>
      </c>
    </row>
    <row r="6" spans="1:13" x14ac:dyDescent="0.2">
      <c r="A6" t="s">
        <v>12</v>
      </c>
      <c r="B6">
        <v>37</v>
      </c>
      <c r="C6">
        <v>1</v>
      </c>
      <c r="D6" t="s">
        <v>16</v>
      </c>
      <c r="E6">
        <v>5.3786691903416999E-3</v>
      </c>
      <c r="F6">
        <v>2.21562707920993E-4</v>
      </c>
      <c r="G6">
        <v>0.99617633923177495</v>
      </c>
      <c r="H6" s="1">
        <v>1.33154076470631E-7</v>
      </c>
      <c r="I6">
        <v>-5.2253142977975804</v>
      </c>
      <c r="J6">
        <v>3.2242463324197901E-3</v>
      </c>
      <c r="L6">
        <v>3.2242463324197901E-3</v>
      </c>
      <c r="M6">
        <f>AVERAGE(I5:I9)</f>
        <v>-5.5224902291465368</v>
      </c>
    </row>
    <row r="7" spans="1:13" x14ac:dyDescent="0.2">
      <c r="A7" t="s">
        <v>12</v>
      </c>
      <c r="B7">
        <v>37</v>
      </c>
      <c r="C7">
        <v>1</v>
      </c>
      <c r="D7" t="s">
        <v>15</v>
      </c>
      <c r="E7">
        <v>3.81362344470439E-3</v>
      </c>
      <c r="F7">
        <v>1.8305816283477799E-4</v>
      </c>
      <c r="G7">
        <v>0.99735814181508398</v>
      </c>
      <c r="H7" s="1">
        <v>9.9244221233776203E-8</v>
      </c>
      <c r="I7">
        <v>-5.5691755064356396</v>
      </c>
      <c r="J7">
        <v>3.2242463324197901E-3</v>
      </c>
      <c r="L7">
        <v>3.1730921783277798E-3</v>
      </c>
      <c r="M7">
        <f>AVERAGE(I10:I13)</f>
        <v>-5.2738495978438698</v>
      </c>
    </row>
    <row r="8" spans="1:13" x14ac:dyDescent="0.2">
      <c r="A8" t="s">
        <v>12</v>
      </c>
      <c r="B8">
        <v>37</v>
      </c>
      <c r="C8">
        <v>1</v>
      </c>
      <c r="D8" t="s">
        <v>13</v>
      </c>
      <c r="E8">
        <v>3.8581417580480898E-3</v>
      </c>
      <c r="F8">
        <v>1.82616438819848E-4</v>
      </c>
      <c r="G8">
        <v>0.99737319050714301</v>
      </c>
      <c r="H8" s="1">
        <v>9.8515257449260397E-8</v>
      </c>
      <c r="I8">
        <v>-5.5575696212524104</v>
      </c>
      <c r="J8">
        <v>3.2242463324197901E-3</v>
      </c>
      <c r="L8">
        <v>3.1138097462245001E-3</v>
      </c>
      <c r="M8">
        <f>AVERAGE(I15,I17,I18)</f>
        <v>-4.3311195847703301</v>
      </c>
    </row>
    <row r="9" spans="1:13" x14ac:dyDescent="0.2">
      <c r="A9" t="s">
        <v>12</v>
      </c>
      <c r="B9">
        <v>37</v>
      </c>
      <c r="C9">
        <v>2</v>
      </c>
      <c r="D9" t="s">
        <v>15</v>
      </c>
      <c r="E9">
        <v>4.0715768589163898E-3</v>
      </c>
      <c r="F9">
        <v>1.17968762876114E-4</v>
      </c>
      <c r="G9">
        <v>0.997633045156743</v>
      </c>
      <c r="H9" s="1">
        <v>8.6323170501214799E-8</v>
      </c>
      <c r="I9">
        <v>-5.5037249199378504</v>
      </c>
      <c r="J9">
        <v>3.2242463324197901E-3</v>
      </c>
    </row>
    <row r="10" spans="1:13" x14ac:dyDescent="0.2">
      <c r="A10" t="s">
        <v>12</v>
      </c>
      <c r="B10">
        <v>42</v>
      </c>
      <c r="C10">
        <v>1</v>
      </c>
      <c r="D10" t="s">
        <v>15</v>
      </c>
      <c r="E10">
        <v>5.5327051795916599E-3</v>
      </c>
      <c r="F10">
        <v>5.4574230313967796E-4</v>
      </c>
      <c r="G10">
        <v>0.99408200704252003</v>
      </c>
      <c r="H10" s="1">
        <v>2.2114103649798399E-7</v>
      </c>
      <c r="I10">
        <v>-5.1970784004923702</v>
      </c>
      <c r="J10">
        <v>3.1730921783277798E-3</v>
      </c>
    </row>
    <row r="11" spans="1:13" x14ac:dyDescent="0.2">
      <c r="A11" t="s">
        <v>12</v>
      </c>
      <c r="B11">
        <v>42</v>
      </c>
      <c r="C11">
        <v>2</v>
      </c>
      <c r="D11" t="s">
        <v>13</v>
      </c>
      <c r="E11">
        <v>4.7712137750049099E-3</v>
      </c>
      <c r="F11">
        <v>7.0417134522599999E-4</v>
      </c>
      <c r="G11">
        <v>0.99140350511175901</v>
      </c>
      <c r="H11" s="1">
        <v>3.3559622898482598E-7</v>
      </c>
      <c r="I11">
        <v>-5.3451545462826404</v>
      </c>
      <c r="J11">
        <v>3.1730921783277798E-3</v>
      </c>
    </row>
    <row r="12" spans="1:13" x14ac:dyDescent="0.2">
      <c r="A12" t="s">
        <v>12</v>
      </c>
      <c r="B12">
        <v>42</v>
      </c>
      <c r="C12">
        <v>2</v>
      </c>
      <c r="D12" t="s">
        <v>15</v>
      </c>
      <c r="E12">
        <v>6.2099663948138603E-3</v>
      </c>
      <c r="F12">
        <v>7.5393949516090796E-4</v>
      </c>
      <c r="G12">
        <v>0.99019470759618899</v>
      </c>
      <c r="H12" s="1">
        <v>3.6696065075859501E-7</v>
      </c>
      <c r="I12">
        <v>-5.0815997945145304</v>
      </c>
      <c r="J12">
        <v>3.1730921783277798E-3</v>
      </c>
    </row>
    <row r="13" spans="1:13" x14ac:dyDescent="0.2">
      <c r="A13" t="s">
        <v>12</v>
      </c>
      <c r="B13">
        <v>42</v>
      </c>
      <c r="C13">
        <v>1</v>
      </c>
      <c r="D13" t="s">
        <v>13</v>
      </c>
      <c r="E13">
        <v>4.2046440007272199E-3</v>
      </c>
      <c r="F13">
        <v>5.0856421203826496E-4</v>
      </c>
      <c r="G13">
        <v>0.99483912785223905</v>
      </c>
      <c r="H13" s="1">
        <v>2.0088175768481899E-7</v>
      </c>
      <c r="I13">
        <v>-5.4715656500859398</v>
      </c>
      <c r="J13">
        <v>3.1730921783277798E-3</v>
      </c>
    </row>
    <row r="14" spans="1:13" x14ac:dyDescent="0.2">
      <c r="A14" t="s">
        <v>12</v>
      </c>
      <c r="B14">
        <v>48</v>
      </c>
      <c r="C14">
        <v>1</v>
      </c>
      <c r="D14" t="s">
        <v>15</v>
      </c>
      <c r="E14">
        <v>6.3150745062783998E-3</v>
      </c>
      <c r="F14">
        <v>1.19322448110967E-3</v>
      </c>
      <c r="G14">
        <v>0.99319575284177797</v>
      </c>
      <c r="H14" s="1">
        <v>2.8183892177310703E-7</v>
      </c>
      <c r="I14">
        <v>-5.0648157249470804</v>
      </c>
      <c r="J14">
        <v>3.1138097462245001E-3</v>
      </c>
    </row>
    <row r="15" spans="1:13" x14ac:dyDescent="0.2">
      <c r="A15" t="s">
        <v>12</v>
      </c>
      <c r="B15">
        <v>48</v>
      </c>
      <c r="C15">
        <v>1</v>
      </c>
      <c r="D15" t="s">
        <v>13</v>
      </c>
      <c r="E15">
        <v>1.06363036065725E-2</v>
      </c>
      <c r="F15">
        <v>1.3402293626707501E-3</v>
      </c>
      <c r="G15">
        <v>0.99153169051276402</v>
      </c>
      <c r="H15" s="1">
        <v>3.2807505244363399E-7</v>
      </c>
      <c r="I15">
        <v>-4.5434822608251801</v>
      </c>
      <c r="J15">
        <v>3.1138097462245001E-3</v>
      </c>
    </row>
    <row r="16" spans="1:13" x14ac:dyDescent="0.2">
      <c r="A16" t="s">
        <v>12</v>
      </c>
      <c r="B16">
        <v>48</v>
      </c>
      <c r="C16">
        <v>2</v>
      </c>
      <c r="D16" t="s">
        <v>15</v>
      </c>
      <c r="E16">
        <v>2.24257300144286E-3</v>
      </c>
      <c r="F16">
        <v>8.9245341312242405E-4</v>
      </c>
      <c r="G16">
        <v>0.99600888231658802</v>
      </c>
      <c r="H16" s="1">
        <v>1.75549771458299E-7</v>
      </c>
      <c r="I16">
        <v>-6.1001314109634697</v>
      </c>
      <c r="J16">
        <v>3.1138097462245001E-3</v>
      </c>
    </row>
    <row r="17" spans="1:10" x14ac:dyDescent="0.2">
      <c r="A17" t="s">
        <v>12</v>
      </c>
      <c r="B17">
        <v>48</v>
      </c>
      <c r="C17">
        <v>1</v>
      </c>
      <c r="D17" t="s">
        <v>16</v>
      </c>
      <c r="E17">
        <v>1.2685801331778801E-2</v>
      </c>
      <c r="F17">
        <v>1.3975380570281099E-3</v>
      </c>
      <c r="G17">
        <v>0.99082186465875999</v>
      </c>
      <c r="H17" s="1">
        <v>3.4368281685740102E-7</v>
      </c>
      <c r="I17">
        <v>-4.3672719163235403</v>
      </c>
      <c r="J17">
        <v>3.1138097462245001E-3</v>
      </c>
    </row>
    <row r="18" spans="1:10" x14ac:dyDescent="0.2">
      <c r="A18" t="s">
        <v>12</v>
      </c>
      <c r="B18">
        <v>48</v>
      </c>
      <c r="C18">
        <v>2</v>
      </c>
      <c r="D18" t="s">
        <v>16</v>
      </c>
      <c r="E18">
        <v>1.68634861526573E-2</v>
      </c>
      <c r="F18">
        <v>1.28591766095393E-3</v>
      </c>
      <c r="G18">
        <v>0.99200240492511405</v>
      </c>
      <c r="H18" s="1">
        <v>2.77127991733201E-7</v>
      </c>
      <c r="I18">
        <v>-4.0826045771622699</v>
      </c>
      <c r="J18">
        <v>3.1138097462245001E-3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213F-D410-6F4D-A765-52E22F5C216D}">
  <dimension ref="A1:L18"/>
  <sheetViews>
    <sheetView workbookViewId="0">
      <selection activeCell="K3" sqref="K3:L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</row>
    <row r="2" spans="1:12" x14ac:dyDescent="0.2">
      <c r="A2" t="s">
        <v>17</v>
      </c>
      <c r="B2">
        <v>25</v>
      </c>
      <c r="C2">
        <v>1</v>
      </c>
      <c r="D2" t="s">
        <v>13</v>
      </c>
      <c r="E2">
        <v>1.13917437144617E-3</v>
      </c>
      <c r="F2" s="1">
        <v>2.9098540366028099E-5</v>
      </c>
      <c r="G2">
        <v>0.99827544206360896</v>
      </c>
      <c r="H2" s="1">
        <v>5.65550382111571E-8</v>
      </c>
      <c r="I2">
        <v>-6.7774515145345404</v>
      </c>
      <c r="J2">
        <v>3.3540164346805299E-3</v>
      </c>
    </row>
    <row r="3" spans="1:12" x14ac:dyDescent="0.2">
      <c r="A3" t="s">
        <v>17</v>
      </c>
      <c r="B3">
        <v>25</v>
      </c>
      <c r="C3">
        <v>1</v>
      </c>
      <c r="D3" t="s">
        <v>14</v>
      </c>
      <c r="E3">
        <v>1.5269447028831999E-3</v>
      </c>
      <c r="F3" s="1">
        <v>3.3690854996797101E-5</v>
      </c>
      <c r="G3">
        <v>0.99773787505434297</v>
      </c>
      <c r="H3" s="1">
        <v>6.9404995329433202E-8</v>
      </c>
      <c r="I3">
        <v>-6.4844864663134496</v>
      </c>
      <c r="J3">
        <v>3.3540164346805299E-3</v>
      </c>
      <c r="K3">
        <f>J2</f>
        <v>3.3540164346805299E-3</v>
      </c>
      <c r="L3">
        <f>AVERAGE(I2:I4)</f>
        <v>-6.6312129098550701</v>
      </c>
    </row>
    <row r="4" spans="1:12" x14ac:dyDescent="0.2">
      <c r="A4" t="s">
        <v>17</v>
      </c>
      <c r="B4">
        <v>25</v>
      </c>
      <c r="C4">
        <v>1</v>
      </c>
      <c r="D4" t="s">
        <v>15</v>
      </c>
      <c r="E4">
        <v>1.3179197285798101E-3</v>
      </c>
      <c r="F4" s="1">
        <v>3.1820841296364398E-5</v>
      </c>
      <c r="G4">
        <v>0.99804056589466805</v>
      </c>
      <c r="H4" s="1">
        <v>6.2895141861343096E-8</v>
      </c>
      <c r="I4">
        <v>-6.6317007487172202</v>
      </c>
      <c r="J4">
        <v>3.3540164346805299E-3</v>
      </c>
      <c r="K4">
        <f>J6</f>
        <v>3.2242463324197901E-3</v>
      </c>
      <c r="L4">
        <f>AVERAGE(I5:I8)</f>
        <v>-5.8472710544600108</v>
      </c>
    </row>
    <row r="5" spans="1:12" x14ac:dyDescent="0.2">
      <c r="A5" t="s">
        <v>17</v>
      </c>
      <c r="B5">
        <v>37</v>
      </c>
      <c r="C5">
        <v>2</v>
      </c>
      <c r="D5" t="s">
        <v>13</v>
      </c>
      <c r="E5">
        <v>2.82252704613873E-3</v>
      </c>
      <c r="F5">
        <v>1.4688131317234699E-4</v>
      </c>
      <c r="G5">
        <v>0.99833050660478395</v>
      </c>
      <c r="H5" s="1">
        <v>5.6971454377035303E-8</v>
      </c>
      <c r="I5">
        <v>-5.8701226796519999</v>
      </c>
      <c r="J5">
        <v>3.2242463324197901E-3</v>
      </c>
      <c r="K5">
        <f>J10</f>
        <v>3.1730921783277798E-3</v>
      </c>
      <c r="L5" s="1">
        <f>AVERAGE(I9:I14)</f>
        <v>-4.1447553081037958</v>
      </c>
    </row>
    <row r="6" spans="1:12" x14ac:dyDescent="0.2">
      <c r="A6" t="s">
        <v>17</v>
      </c>
      <c r="B6">
        <v>37</v>
      </c>
      <c r="C6">
        <v>1</v>
      </c>
      <c r="D6" t="s">
        <v>15</v>
      </c>
      <c r="E6">
        <v>2.9128280239836199E-3</v>
      </c>
      <c r="F6">
        <v>2.4093260167727199E-4</v>
      </c>
      <c r="G6">
        <v>0.99546805822920903</v>
      </c>
      <c r="H6" s="1">
        <v>1.5339435243521801E-7</v>
      </c>
      <c r="I6">
        <v>-5.8386308401717004</v>
      </c>
      <c r="J6">
        <v>3.2242463324197901E-3</v>
      </c>
      <c r="K6">
        <f>J16</f>
        <v>3.1138097462245001E-3</v>
      </c>
      <c r="L6">
        <f>AVERAGE(I15:I16)</f>
        <v>-3.5329438842683301</v>
      </c>
    </row>
    <row r="7" spans="1:12" x14ac:dyDescent="0.2">
      <c r="A7" t="s">
        <v>17</v>
      </c>
      <c r="B7">
        <v>37</v>
      </c>
      <c r="C7">
        <v>1</v>
      </c>
      <c r="D7" t="s">
        <v>13</v>
      </c>
      <c r="E7">
        <v>3.1323557474478201E-3</v>
      </c>
      <c r="F7">
        <v>2.4557821070390602E-4</v>
      </c>
      <c r="G7">
        <v>0.99530166626850802</v>
      </c>
      <c r="H7" s="1">
        <v>1.5742032421642099E-7</v>
      </c>
      <c r="I7">
        <v>-5.7659699225503802</v>
      </c>
      <c r="J7">
        <v>3.2242463324197901E-3</v>
      </c>
    </row>
    <row r="8" spans="1:12" x14ac:dyDescent="0.2">
      <c r="A8" t="s">
        <v>17</v>
      </c>
      <c r="B8">
        <v>37</v>
      </c>
      <c r="C8">
        <v>2</v>
      </c>
      <c r="D8" t="s">
        <v>15</v>
      </c>
      <c r="E8">
        <v>2.7003853998694102E-3</v>
      </c>
      <c r="F8">
        <v>1.4384392900260501E-4</v>
      </c>
      <c r="G8">
        <v>0.99839724922088102</v>
      </c>
      <c r="H8" s="1">
        <v>5.5016045700464701E-8</v>
      </c>
      <c r="I8">
        <v>-5.9143607754659602</v>
      </c>
      <c r="J8">
        <v>3.2242463324197901E-3</v>
      </c>
    </row>
    <row r="9" spans="1:12" x14ac:dyDescent="0.2">
      <c r="A9" t="s">
        <v>17</v>
      </c>
      <c r="B9">
        <v>42</v>
      </c>
      <c r="C9">
        <v>2</v>
      </c>
      <c r="D9" t="s">
        <v>16</v>
      </c>
      <c r="E9">
        <v>4.8047773576403698E-2</v>
      </c>
      <c r="F9">
        <v>3.9831864434303199E-4</v>
      </c>
      <c r="G9">
        <v>0.99763178013652998</v>
      </c>
      <c r="H9" s="1">
        <v>2.9599146227431602E-8</v>
      </c>
      <c r="I9">
        <v>-3.0355594801980699</v>
      </c>
      <c r="J9">
        <v>3.1730921783277798E-3</v>
      </c>
    </row>
    <row r="10" spans="1:12" x14ac:dyDescent="0.2">
      <c r="A10" t="s">
        <v>17</v>
      </c>
      <c r="B10">
        <v>42</v>
      </c>
      <c r="C10">
        <v>2</v>
      </c>
      <c r="D10" t="s">
        <v>13</v>
      </c>
      <c r="E10">
        <v>5.9065851845100997E-3</v>
      </c>
      <c r="F10">
        <v>5.7172458879401302E-4</v>
      </c>
      <c r="G10">
        <v>0.99459447682776603</v>
      </c>
      <c r="H10" s="1">
        <v>1.83715587049422E-7</v>
      </c>
      <c r="I10">
        <v>-5.1316874175159599</v>
      </c>
      <c r="J10">
        <v>3.1730921783277798E-3</v>
      </c>
    </row>
    <row r="11" spans="1:12" x14ac:dyDescent="0.2">
      <c r="A11" t="s">
        <v>17</v>
      </c>
      <c r="B11">
        <v>42</v>
      </c>
      <c r="C11">
        <v>2</v>
      </c>
      <c r="D11" t="s">
        <v>14</v>
      </c>
      <c r="E11">
        <v>4.2397477401662199E-2</v>
      </c>
      <c r="F11">
        <v>4.3894826249968999E-4</v>
      </c>
      <c r="G11">
        <v>0.99703412802404101</v>
      </c>
      <c r="H11" s="1">
        <v>4.0802676571948999E-8</v>
      </c>
      <c r="I11">
        <v>-3.1606664137579501</v>
      </c>
      <c r="J11">
        <v>3.1730921783277798E-3</v>
      </c>
    </row>
    <row r="12" spans="1:12" x14ac:dyDescent="0.2">
      <c r="A12" t="s">
        <v>17</v>
      </c>
      <c r="B12">
        <v>42</v>
      </c>
      <c r="C12">
        <v>1</v>
      </c>
      <c r="D12" t="s">
        <v>14</v>
      </c>
      <c r="E12">
        <v>2.1553510645383699E-2</v>
      </c>
      <c r="F12">
        <v>6.7748982963291497E-4</v>
      </c>
      <c r="G12">
        <v>0.99332370572365203</v>
      </c>
      <c r="H12" s="1">
        <v>1.6047243104152101E-7</v>
      </c>
      <c r="I12">
        <v>-3.8372165687219102</v>
      </c>
      <c r="J12">
        <v>3.1730921783277798E-3</v>
      </c>
    </row>
    <row r="13" spans="1:12" x14ac:dyDescent="0.2">
      <c r="A13" t="s">
        <v>17</v>
      </c>
      <c r="B13">
        <v>42</v>
      </c>
      <c r="C13">
        <v>2</v>
      </c>
      <c r="D13" t="s">
        <v>15</v>
      </c>
      <c r="E13">
        <v>7.6340669750655102E-3</v>
      </c>
      <c r="F13">
        <v>5.9543302811266696E-4</v>
      </c>
      <c r="G13">
        <v>0.995054973876907</v>
      </c>
      <c r="H13" s="1">
        <v>1.66705814823046E-7</v>
      </c>
      <c r="I13">
        <v>-4.8751345514377498</v>
      </c>
      <c r="J13">
        <v>3.1730921783277798E-3</v>
      </c>
    </row>
    <row r="14" spans="1:12" x14ac:dyDescent="0.2">
      <c r="A14" t="s">
        <v>17</v>
      </c>
      <c r="B14">
        <v>42</v>
      </c>
      <c r="C14">
        <v>1</v>
      </c>
      <c r="D14" t="s">
        <v>13</v>
      </c>
      <c r="E14">
        <v>8.0003705710717295E-3</v>
      </c>
      <c r="F14">
        <v>7.4105063672617996E-4</v>
      </c>
      <c r="G14">
        <v>0.99150950588770403</v>
      </c>
      <c r="H14" s="1">
        <v>2.8338068163946601E-7</v>
      </c>
      <c r="I14">
        <v>-4.8282674169911299</v>
      </c>
      <c r="J14">
        <v>3.1730921783277798E-3</v>
      </c>
    </row>
    <row r="15" spans="1:12" x14ac:dyDescent="0.2">
      <c r="A15" t="s">
        <v>17</v>
      </c>
      <c r="B15">
        <v>48</v>
      </c>
      <c r="C15">
        <v>2</v>
      </c>
      <c r="D15" t="s">
        <v>13</v>
      </c>
      <c r="E15">
        <v>2.0800839940910799E-2</v>
      </c>
      <c r="F15">
        <v>8.4185502691302299E-4</v>
      </c>
      <c r="G15">
        <v>0.99775131342178103</v>
      </c>
      <c r="H15" s="1">
        <v>6.8127000899825201E-8</v>
      </c>
      <c r="I15">
        <v>-3.87276191131562</v>
      </c>
      <c r="J15">
        <v>3.1138097462245001E-3</v>
      </c>
    </row>
    <row r="16" spans="1:12" x14ac:dyDescent="0.2">
      <c r="A16" t="s">
        <v>17</v>
      </c>
      <c r="B16">
        <v>48</v>
      </c>
      <c r="C16">
        <v>2</v>
      </c>
      <c r="D16" t="s">
        <v>14</v>
      </c>
      <c r="E16">
        <v>4.1043374484402401E-2</v>
      </c>
      <c r="F16">
        <v>1.6856529238986799E-3</v>
      </c>
      <c r="G16">
        <v>0.99117598643731197</v>
      </c>
      <c r="H16" s="1">
        <v>2.0051408114818399E-7</v>
      </c>
      <c r="I16">
        <v>-3.1931258572210401</v>
      </c>
      <c r="J16">
        <v>3.1138097462245001E-3</v>
      </c>
    </row>
    <row r="17" spans="1:10" x14ac:dyDescent="0.2">
      <c r="A17" t="s">
        <v>17</v>
      </c>
      <c r="B17">
        <v>48</v>
      </c>
      <c r="C17">
        <v>1</v>
      </c>
      <c r="D17" t="s">
        <v>15</v>
      </c>
      <c r="E17">
        <v>7.3516908890014603E-3</v>
      </c>
      <c r="F17">
        <v>1.204179317145E-3</v>
      </c>
      <c r="G17">
        <v>0.99283880607404196</v>
      </c>
      <c r="H17" s="1">
        <v>2.44539852546051E-7</v>
      </c>
      <c r="I17">
        <v>-4.9128249392901298</v>
      </c>
      <c r="J17">
        <v>3.1138097462245001E-3</v>
      </c>
    </row>
    <row r="18" spans="1:10" x14ac:dyDescent="0.2">
      <c r="A18" t="s">
        <v>17</v>
      </c>
      <c r="B18">
        <v>48</v>
      </c>
      <c r="C18">
        <v>1</v>
      </c>
      <c r="D18" t="s">
        <v>13</v>
      </c>
      <c r="E18">
        <v>9.3014601549234899E-3</v>
      </c>
      <c r="F18">
        <v>1.25997737878564E-3</v>
      </c>
      <c r="G18">
        <v>0.99218759220583996</v>
      </c>
      <c r="H18" s="1">
        <v>2.5840520936001699E-7</v>
      </c>
      <c r="I18">
        <v>-4.6775838852413099</v>
      </c>
      <c r="J18">
        <v>3.1138097462245001E-3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914D-1E8A-4C4A-8D46-86944383A996}">
  <dimension ref="A1:M10"/>
  <sheetViews>
    <sheetView workbookViewId="0">
      <selection activeCell="L2" sqref="L2:M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</row>
    <row r="2" spans="1:13" x14ac:dyDescent="0.2">
      <c r="A2" t="s">
        <v>18</v>
      </c>
      <c r="B2">
        <v>25</v>
      </c>
      <c r="C2">
        <v>1</v>
      </c>
      <c r="D2" t="s">
        <v>13</v>
      </c>
      <c r="E2">
        <v>2.37428407805872E-3</v>
      </c>
      <c r="F2">
        <v>2.5373394550168402E-4</v>
      </c>
      <c r="G2">
        <v>0.87500880842419604</v>
      </c>
      <c r="H2" s="1">
        <v>2.4535580046859699E-6</v>
      </c>
      <c r="I2">
        <v>-6.0430593277553202</v>
      </c>
      <c r="J2">
        <v>3.3540164346805299E-3</v>
      </c>
      <c r="L2">
        <f>J2</f>
        <v>3.3540164346805299E-3</v>
      </c>
      <c r="M2">
        <f>AVERAGE(I2:I3)</f>
        <v>-6.9484594618442053</v>
      </c>
    </row>
    <row r="3" spans="1:13" x14ac:dyDescent="0.2">
      <c r="A3" t="s">
        <v>18</v>
      </c>
      <c r="B3">
        <v>25</v>
      </c>
      <c r="C3">
        <v>1</v>
      </c>
      <c r="D3" t="s">
        <v>15</v>
      </c>
      <c r="E3">
        <v>3.8825058237636299E-4</v>
      </c>
      <c r="F3">
        <v>2.21645067158555E-4</v>
      </c>
      <c r="G3">
        <v>0.89624129567243604</v>
      </c>
      <c r="H3" s="1">
        <v>2.8675558241598098E-6</v>
      </c>
      <c r="I3">
        <v>-7.8538595959330904</v>
      </c>
      <c r="J3">
        <v>3.3540164346805299E-3</v>
      </c>
      <c r="L3">
        <f>J4</f>
        <v>3.2663726931242798E-3</v>
      </c>
      <c r="M3">
        <f>AVERAGE(I4:I7)</f>
        <v>-5.1473916224107343</v>
      </c>
    </row>
    <row r="4" spans="1:13" x14ac:dyDescent="0.2">
      <c r="A4" t="s">
        <v>18</v>
      </c>
      <c r="B4">
        <v>33</v>
      </c>
      <c r="C4">
        <v>1</v>
      </c>
      <c r="D4" t="s">
        <v>14</v>
      </c>
      <c r="E4">
        <v>7.8984880611088302E-3</v>
      </c>
      <c r="F4" s="1">
        <v>9.1253083455937001E-5</v>
      </c>
      <c r="G4">
        <v>0.998980989881875</v>
      </c>
      <c r="H4" s="1">
        <v>1.5339972401938201E-8</v>
      </c>
      <c r="I4">
        <v>-4.8410839224953097</v>
      </c>
      <c r="J4">
        <v>3.2663726931242798E-3</v>
      </c>
      <c r="L4">
        <f>J8</f>
        <v>3.1730921783277798E-3</v>
      </c>
      <c r="M4">
        <f>AVERAGE(I8:I9)</f>
        <v>-4.3138476789840503</v>
      </c>
    </row>
    <row r="5" spans="1:13" x14ac:dyDescent="0.2">
      <c r="A5" t="s">
        <v>18</v>
      </c>
      <c r="B5">
        <v>33</v>
      </c>
      <c r="C5">
        <v>1</v>
      </c>
      <c r="D5" t="s">
        <v>13</v>
      </c>
      <c r="E5">
        <v>4.0263873529893697E-3</v>
      </c>
      <c r="F5" s="1">
        <v>1.8892821014266698E-5</v>
      </c>
      <c r="G5">
        <v>0.99995700925458597</v>
      </c>
      <c r="H5" s="1">
        <v>8.7433784138438405E-10</v>
      </c>
      <c r="I5">
        <v>-5.5148857435289598</v>
      </c>
      <c r="J5">
        <v>3.2663726931242798E-3</v>
      </c>
      <c r="L5">
        <f>J10</f>
        <v>3.1138097462245001E-3</v>
      </c>
      <c r="M5">
        <f>I10</f>
        <v>-3.2055543919138501</v>
      </c>
    </row>
    <row r="6" spans="1:13" x14ac:dyDescent="0.2">
      <c r="A6" t="s">
        <v>18</v>
      </c>
      <c r="B6">
        <v>33</v>
      </c>
      <c r="C6">
        <v>1</v>
      </c>
      <c r="D6" t="s">
        <v>15</v>
      </c>
      <c r="E6">
        <v>6.3656901038199199E-3</v>
      </c>
      <c r="F6" s="1">
        <v>5.59999965202783E-5</v>
      </c>
      <c r="G6">
        <v>0.99961849522365198</v>
      </c>
      <c r="H6" s="1">
        <v>6.4469678902949499E-9</v>
      </c>
      <c r="I6">
        <v>-5.0568326311971896</v>
      </c>
      <c r="J6">
        <v>3.2663726931242798E-3</v>
      </c>
    </row>
    <row r="7" spans="1:13" x14ac:dyDescent="0.2">
      <c r="A7" t="s">
        <v>18</v>
      </c>
      <c r="B7">
        <v>33</v>
      </c>
      <c r="C7">
        <v>1</v>
      </c>
      <c r="D7" t="s">
        <v>16</v>
      </c>
      <c r="E7">
        <v>5.6462470558990797E-3</v>
      </c>
      <c r="F7" s="1">
        <v>3.8561509155215899E-5</v>
      </c>
      <c r="G7">
        <v>0.99982006474059404</v>
      </c>
      <c r="H7" s="1">
        <v>3.2228657680678199E-9</v>
      </c>
      <c r="I7">
        <v>-5.17676419242148</v>
      </c>
      <c r="J7">
        <v>3.2663726931242798E-3</v>
      </c>
    </row>
    <row r="8" spans="1:13" x14ac:dyDescent="0.2">
      <c r="A8" t="s">
        <v>18</v>
      </c>
      <c r="B8">
        <v>42</v>
      </c>
      <c r="C8">
        <v>1</v>
      </c>
      <c r="D8" t="s">
        <v>15</v>
      </c>
      <c r="E8">
        <v>1.60421422713212E-2</v>
      </c>
      <c r="F8">
        <v>1.8275152597253799E-3</v>
      </c>
      <c r="G8">
        <v>0.93645028000562702</v>
      </c>
      <c r="H8" s="1">
        <v>1.16988922791865E-6</v>
      </c>
      <c r="I8">
        <v>-4.1325361273994199</v>
      </c>
      <c r="J8">
        <v>3.1730921783277798E-3</v>
      </c>
    </row>
    <row r="9" spans="1:13" x14ac:dyDescent="0.2">
      <c r="A9" t="s">
        <v>18</v>
      </c>
      <c r="B9">
        <v>42</v>
      </c>
      <c r="C9">
        <v>1</v>
      </c>
      <c r="D9" t="s">
        <v>13</v>
      </c>
      <c r="E9">
        <v>1.1162902998202899E-2</v>
      </c>
      <c r="F9">
        <v>1.6903508600409E-3</v>
      </c>
      <c r="G9">
        <v>0.945118027317986</v>
      </c>
      <c r="H9" s="1">
        <v>1.15505283914462E-6</v>
      </c>
      <c r="I9">
        <v>-4.4951592305686798</v>
      </c>
      <c r="J9">
        <v>3.1730921783277798E-3</v>
      </c>
    </row>
    <row r="10" spans="1:13" x14ac:dyDescent="0.2">
      <c r="A10" t="s">
        <v>18</v>
      </c>
      <c r="B10">
        <v>48</v>
      </c>
      <c r="C10">
        <v>1</v>
      </c>
      <c r="D10" t="s">
        <v>13</v>
      </c>
      <c r="E10">
        <v>4.05364223425147E-2</v>
      </c>
      <c r="F10">
        <v>2.66989795325404E-3</v>
      </c>
      <c r="G10">
        <v>0.96447106935650995</v>
      </c>
      <c r="H10" s="1">
        <v>5.2554102441144704E-7</v>
      </c>
      <c r="I10">
        <v>-3.2055543919138501</v>
      </c>
      <c r="J10">
        <v>3.1138097462245001E-3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B5EB-7145-8E49-B647-FEC7BE4E57D0}">
  <dimension ref="B1:G15"/>
  <sheetViews>
    <sheetView tabSelected="1" workbookViewId="0">
      <selection activeCell="F19" sqref="F19"/>
    </sheetView>
  </sheetViews>
  <sheetFormatPr baseColWidth="10" defaultRowHeight="16" x14ac:dyDescent="0.2"/>
  <sheetData>
    <row r="1" spans="2:7" x14ac:dyDescent="0.2">
      <c r="C1" t="s">
        <v>10</v>
      </c>
    </row>
    <row r="2" spans="2:7" x14ac:dyDescent="0.2">
      <c r="B2" t="s">
        <v>11</v>
      </c>
      <c r="C2" t="s">
        <v>12</v>
      </c>
      <c r="D2" t="s">
        <v>11</v>
      </c>
      <c r="E2" t="s">
        <v>17</v>
      </c>
      <c r="F2" t="s">
        <v>11</v>
      </c>
      <c r="G2" t="s">
        <v>18</v>
      </c>
    </row>
    <row r="3" spans="2:7" x14ac:dyDescent="0.2">
      <c r="B3">
        <v>3.4112229234180402</v>
      </c>
      <c r="C3">
        <v>-7.0020669143592364</v>
      </c>
      <c r="D3">
        <v>3.3540164346805299</v>
      </c>
      <c r="E3">
        <v>-6.6312129098550701</v>
      </c>
      <c r="F3">
        <v>3.3540164346805299</v>
      </c>
      <c r="G3">
        <v>-6.9484594618442053</v>
      </c>
    </row>
    <row r="4" spans="2:7" x14ac:dyDescent="0.2">
      <c r="B4">
        <v>3.2242463324197903</v>
      </c>
      <c r="C4">
        <v>-5.5224902291465368</v>
      </c>
      <c r="D4">
        <v>3.2242463324197903</v>
      </c>
      <c r="E4">
        <v>-5.8472710544600108</v>
      </c>
      <c r="F4">
        <v>3.2663726931242798</v>
      </c>
      <c r="G4">
        <v>-5.1473916224107343</v>
      </c>
    </row>
    <row r="5" spans="2:7" x14ac:dyDescent="0.2">
      <c r="B5">
        <v>3.1730921783277797</v>
      </c>
      <c r="C5">
        <v>-5.2738495978438698</v>
      </c>
      <c r="D5">
        <v>3.1730921783277797</v>
      </c>
      <c r="E5">
        <v>-4.1447553081037958</v>
      </c>
      <c r="F5">
        <v>3.1730921783277797</v>
      </c>
      <c r="G5">
        <v>-4.3138476789840503</v>
      </c>
    </row>
    <row r="6" spans="2:7" x14ac:dyDescent="0.2">
      <c r="B6">
        <v>3.1138097462245002</v>
      </c>
      <c r="C6">
        <v>-4.3311195847703301</v>
      </c>
      <c r="D6">
        <v>3.1138097462245002</v>
      </c>
      <c r="E6">
        <v>-3.5329438842683301</v>
      </c>
      <c r="F6">
        <v>3.1138097462245002</v>
      </c>
      <c r="G6">
        <v>-3.2055543919138501</v>
      </c>
    </row>
    <row r="8" spans="2:7" x14ac:dyDescent="0.2">
      <c r="B8">
        <f>(1 / B3) - 273.15</f>
        <v>-272.85684999999995</v>
      </c>
      <c r="C8">
        <f>EXP(C3)</f>
        <v>9.0999913012608491E-4</v>
      </c>
      <c r="D8">
        <f>(1 / D3) - 273.15</f>
        <v>-272.85184999999996</v>
      </c>
      <c r="E8">
        <f>EXP(E3)</f>
        <v>1.318562817889848E-3</v>
      </c>
      <c r="F8">
        <f>(1 / F3) - 273.15</f>
        <v>-272.85184999999996</v>
      </c>
      <c r="G8">
        <f>EXP(G3)</f>
        <v>9.6011310585432277E-4</v>
      </c>
    </row>
    <row r="9" spans="2:7" x14ac:dyDescent="0.2">
      <c r="B9">
        <f t="shared" ref="B9:D11" si="0">(1 / B4) - 273.15</f>
        <v>-272.83984999999996</v>
      </c>
      <c r="C9">
        <f t="shared" ref="C9:E11" si="1">EXP(C4)</f>
        <v>3.9958848730994416E-3</v>
      </c>
      <c r="D9">
        <f t="shared" si="0"/>
        <v>-272.83984999999996</v>
      </c>
      <c r="E9">
        <f t="shared" si="1"/>
        <v>2.8877689793241328E-3</v>
      </c>
      <c r="F9">
        <f t="shared" ref="F9" si="2">(1 / F4) - 273.15</f>
        <v>-272.84384999999997</v>
      </c>
      <c r="G9">
        <f t="shared" ref="G9" si="3">EXP(G4)</f>
        <v>5.814551509839617E-3</v>
      </c>
    </row>
    <row r="10" spans="2:7" x14ac:dyDescent="0.2">
      <c r="B10">
        <f t="shared" si="0"/>
        <v>-272.83484999999996</v>
      </c>
      <c r="C10">
        <f t="shared" si="1"/>
        <v>5.1238478046200988E-3</v>
      </c>
      <c r="D10">
        <f t="shared" si="0"/>
        <v>-272.83484999999996</v>
      </c>
      <c r="E10">
        <f t="shared" si="1"/>
        <v>1.5847313186051041E-2</v>
      </c>
      <c r="F10">
        <f t="shared" ref="F10" si="4">(1 / F5) - 273.15</f>
        <v>-272.83484999999996</v>
      </c>
      <c r="G10">
        <f t="shared" ref="G10" si="5">EXP(G5)</f>
        <v>1.3381960919765575E-2</v>
      </c>
    </row>
    <row r="11" spans="2:7" x14ac:dyDescent="0.2">
      <c r="B11">
        <f t="shared" si="0"/>
        <v>-272.82884999999999</v>
      </c>
      <c r="C11">
        <f t="shared" si="1"/>
        <v>1.3152813553931565E-2</v>
      </c>
      <c r="D11">
        <f t="shared" si="0"/>
        <v>-272.82884999999999</v>
      </c>
      <c r="E11">
        <f t="shared" si="1"/>
        <v>2.9218772446578358E-2</v>
      </c>
      <c r="F11">
        <f t="shared" ref="F11" si="6">(1 / F6) - 273.15</f>
        <v>-272.82884999999999</v>
      </c>
      <c r="G11">
        <f t="shared" ref="G11" si="7">EXP(G6)</f>
        <v>4.0536422342514852E-2</v>
      </c>
    </row>
    <row r="15" spans="2:7" x14ac:dyDescent="0.2">
      <c r="C15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all_data_fitparams</vt:lpstr>
      <vt:lpstr>ATP</vt:lpstr>
      <vt:lpstr>CTP</vt:lpstr>
      <vt:lpstr>GTP</vt:lpstr>
      <vt:lpstr>ACG_compare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2024-04-28T18:44:38Z</dcterms:created>
  <dcterms:modified xsi:type="dcterms:W3CDTF">2024-05-08T13:58:47Z</dcterms:modified>
</cp:coreProperties>
</file>