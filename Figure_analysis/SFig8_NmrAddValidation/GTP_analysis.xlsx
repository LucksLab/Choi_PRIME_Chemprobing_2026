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Group_Members/EKC/Projects/EKC.01_SHAPE_Standardization/Experiments/EKC.01.047.NMR_NTP_adduction_kinetics/data/peak_analysis/"/>
    </mc:Choice>
  </mc:AlternateContent>
  <xr:revisionPtr revIDLastSave="0" documentId="13_ncr:1_{34FB20A1-6171-D847-ADF7-14934157D16D}" xr6:coauthVersionLast="47" xr6:coauthVersionMax="47" xr10:uidLastSave="{00000000-0000-0000-0000-000000000000}"/>
  <bookViews>
    <workbookView xWindow="760" yWindow="500" windowWidth="28040" windowHeight="16280" xr2:uid="{3D531C27-65BE-0146-A41F-206A316A1879}"/>
  </bookViews>
  <sheets>
    <sheet name="25_1" sheetId="2" r:id="rId1"/>
    <sheet name="33_1" sheetId="1" r:id="rId2"/>
    <sheet name="42_1" sheetId="3" r:id="rId3"/>
    <sheet name="48_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2" l="1"/>
  <c r="I67" i="2"/>
  <c r="K67" i="2" s="1"/>
  <c r="I68" i="2"/>
  <c r="I69" i="2"/>
  <c r="I70" i="2"/>
  <c r="N70" i="2" s="1"/>
  <c r="I71" i="2"/>
  <c r="K71" i="2" s="1"/>
  <c r="I72" i="2"/>
  <c r="J72" i="2" s="1"/>
  <c r="I73" i="2"/>
  <c r="I74" i="2"/>
  <c r="I75" i="2"/>
  <c r="K75" i="2" s="1"/>
  <c r="I76" i="2"/>
  <c r="I77" i="2"/>
  <c r="I78" i="2"/>
  <c r="I79" i="2"/>
  <c r="L79" i="2" s="1"/>
  <c r="I80" i="2"/>
  <c r="K80" i="2" s="1"/>
  <c r="I81" i="2"/>
  <c r="I82" i="2"/>
  <c r="I83" i="2"/>
  <c r="I84" i="2"/>
  <c r="I85" i="2"/>
  <c r="I86" i="2"/>
  <c r="I87" i="2"/>
  <c r="M87" i="2" s="1"/>
  <c r="I88" i="2"/>
  <c r="K88" i="2" s="1"/>
  <c r="I89" i="2"/>
  <c r="I90" i="2"/>
  <c r="I91" i="2"/>
  <c r="N91" i="2" s="1"/>
  <c r="I92" i="2"/>
  <c r="I93" i="2"/>
  <c r="I94" i="2"/>
  <c r="J94" i="2" s="1"/>
  <c r="I95" i="2"/>
  <c r="K95" i="2" s="1"/>
  <c r="I96" i="2"/>
  <c r="I97" i="2"/>
  <c r="I98" i="2"/>
  <c r="I99" i="2"/>
  <c r="N99" i="2" s="1"/>
  <c r="I100" i="2"/>
  <c r="I101" i="2"/>
  <c r="I102" i="2"/>
  <c r="L102" i="2" s="1"/>
  <c r="I103" i="2"/>
  <c r="K103" i="2" s="1"/>
  <c r="I104" i="2"/>
  <c r="N104" i="2" s="1"/>
  <c r="I105" i="2"/>
  <c r="I106" i="2"/>
  <c r="I107" i="2"/>
  <c r="N107" i="2" s="1"/>
  <c r="I108" i="2"/>
  <c r="I109" i="2"/>
  <c r="I110" i="2"/>
  <c r="L110" i="2" s="1"/>
  <c r="I111" i="2"/>
  <c r="M111" i="2" s="1"/>
  <c r="I112" i="2"/>
  <c r="M112" i="2" s="1"/>
  <c r="I113" i="2"/>
  <c r="N113" i="2" s="1"/>
  <c r="I114" i="2"/>
  <c r="I115" i="2"/>
  <c r="I116" i="2"/>
  <c r="I117" i="2"/>
  <c r="I118" i="2"/>
  <c r="I119" i="2"/>
  <c r="J119" i="2" s="1"/>
  <c r="I120" i="2"/>
  <c r="M120" i="2" s="1"/>
  <c r="I121" i="2"/>
  <c r="I122" i="2"/>
  <c r="I123" i="2"/>
  <c r="K123" i="2" s="1"/>
  <c r="I124" i="2"/>
  <c r="L78" i="2"/>
  <c r="M86" i="2"/>
  <c r="N94" i="2"/>
  <c r="N95" i="2"/>
  <c r="M96" i="2"/>
  <c r="L118" i="2"/>
  <c r="N119" i="2"/>
  <c r="I65" i="2"/>
  <c r="J124" i="2"/>
  <c r="N122" i="2"/>
  <c r="J122" i="2"/>
  <c r="M122" i="2"/>
  <c r="N121" i="2"/>
  <c r="M121" i="2"/>
  <c r="L121" i="2"/>
  <c r="N118" i="2"/>
  <c r="K115" i="2"/>
  <c r="N115" i="2"/>
  <c r="N114" i="2"/>
  <c r="J114" i="2"/>
  <c r="M114" i="2"/>
  <c r="M113" i="2"/>
  <c r="L113" i="2"/>
  <c r="N110" i="2"/>
  <c r="K107" i="2"/>
  <c r="N106" i="2"/>
  <c r="J106" i="2"/>
  <c r="M106" i="2"/>
  <c r="N105" i="2"/>
  <c r="M105" i="2"/>
  <c r="L105" i="2"/>
  <c r="K102" i="2"/>
  <c r="J102" i="2"/>
  <c r="K99" i="2"/>
  <c r="N98" i="2"/>
  <c r="J98" i="2"/>
  <c r="M98" i="2"/>
  <c r="N97" i="2"/>
  <c r="M97" i="2"/>
  <c r="L97" i="2"/>
  <c r="L95" i="2"/>
  <c r="K91" i="2"/>
  <c r="N90" i="2"/>
  <c r="J90" i="2"/>
  <c r="M90" i="2"/>
  <c r="N89" i="2"/>
  <c r="M89" i="2"/>
  <c r="L89" i="2"/>
  <c r="K83" i="2"/>
  <c r="N83" i="2"/>
  <c r="N82" i="2"/>
  <c r="J82" i="2"/>
  <c r="M82" i="2"/>
  <c r="N81" i="2"/>
  <c r="M81" i="2"/>
  <c r="L81" i="2"/>
  <c r="J79" i="2"/>
  <c r="N78" i="2"/>
  <c r="J77" i="2"/>
  <c r="N75" i="2"/>
  <c r="N74" i="2"/>
  <c r="J74" i="2"/>
  <c r="M74" i="2"/>
  <c r="N73" i="2"/>
  <c r="M73" i="2"/>
  <c r="L73" i="2"/>
  <c r="N66" i="2"/>
  <c r="J66" i="2"/>
  <c r="M66" i="2"/>
  <c r="N65" i="2"/>
  <c r="M65" i="2"/>
  <c r="L65" i="2"/>
  <c r="N44" i="1"/>
  <c r="M44" i="1"/>
  <c r="L44" i="1"/>
  <c r="I44" i="1"/>
  <c r="I43" i="1"/>
  <c r="N43" i="1" s="1"/>
  <c r="N42" i="1"/>
  <c r="M42" i="1"/>
  <c r="L42" i="1"/>
  <c r="K42" i="1"/>
  <c r="J42" i="1"/>
  <c r="I42" i="1"/>
  <c r="N41" i="1"/>
  <c r="M41" i="1"/>
  <c r="I41" i="1"/>
  <c r="L41" i="1" s="1"/>
  <c r="I40" i="1"/>
  <c r="N39" i="1"/>
  <c r="M39" i="1"/>
  <c r="L39" i="1"/>
  <c r="K39" i="1"/>
  <c r="J39" i="1"/>
  <c r="I39" i="1"/>
  <c r="N38" i="1"/>
  <c r="J38" i="1"/>
  <c r="I38" i="1"/>
  <c r="M38" i="1" s="1"/>
  <c r="I37" i="1"/>
  <c r="N36" i="1"/>
  <c r="M36" i="1"/>
  <c r="L36" i="1"/>
  <c r="I36" i="1"/>
  <c r="I35" i="1"/>
  <c r="N35" i="1" s="1"/>
  <c r="N34" i="1"/>
  <c r="M34" i="1"/>
  <c r="L34" i="1"/>
  <c r="K34" i="1"/>
  <c r="J34" i="1"/>
  <c r="I34" i="1"/>
  <c r="N33" i="1"/>
  <c r="M33" i="1"/>
  <c r="I33" i="1"/>
  <c r="L33" i="1" s="1"/>
  <c r="I32" i="1"/>
  <c r="N31" i="1"/>
  <c r="M31" i="1"/>
  <c r="L31" i="1"/>
  <c r="K31" i="1"/>
  <c r="J31" i="1"/>
  <c r="I31" i="1"/>
  <c r="N30" i="1"/>
  <c r="J30" i="1"/>
  <c r="I30" i="1"/>
  <c r="M30" i="1" s="1"/>
  <c r="I29" i="1"/>
  <c r="N28" i="1"/>
  <c r="M28" i="1"/>
  <c r="L28" i="1"/>
  <c r="I28" i="1"/>
  <c r="I27" i="1"/>
  <c r="N27" i="1" s="1"/>
  <c r="N26" i="1"/>
  <c r="M26" i="1"/>
  <c r="L26" i="1"/>
  <c r="K26" i="1"/>
  <c r="J26" i="1"/>
  <c r="I26" i="1"/>
  <c r="N25" i="1"/>
  <c r="M25" i="1"/>
  <c r="I25" i="1"/>
  <c r="L25" i="1" s="1"/>
  <c r="L49" i="3"/>
  <c r="K49" i="3"/>
  <c r="J49" i="3"/>
  <c r="I49" i="3"/>
  <c r="H49" i="3"/>
  <c r="L48" i="3"/>
  <c r="K48" i="3"/>
  <c r="J48" i="3"/>
  <c r="I48" i="3"/>
  <c r="H48" i="3"/>
  <c r="L47" i="3"/>
  <c r="K47" i="3"/>
  <c r="J47" i="3"/>
  <c r="I47" i="3"/>
  <c r="H47" i="3"/>
  <c r="H46" i="3"/>
  <c r="K46" i="3" s="1"/>
  <c r="H45" i="3"/>
  <c r="L45" i="3" s="1"/>
  <c r="H44" i="3"/>
  <c r="H43" i="3"/>
  <c r="K42" i="3"/>
  <c r="J42" i="3"/>
  <c r="I42" i="3"/>
  <c r="H42" i="3"/>
  <c r="L41" i="3"/>
  <c r="K41" i="3"/>
  <c r="J41" i="3"/>
  <c r="I41" i="3"/>
  <c r="H41" i="3"/>
  <c r="L40" i="3"/>
  <c r="K40" i="3"/>
  <c r="J40" i="3"/>
  <c r="I40" i="3"/>
  <c r="H40" i="3"/>
  <c r="L39" i="3"/>
  <c r="K39" i="3"/>
  <c r="J39" i="3"/>
  <c r="I39" i="3"/>
  <c r="H39" i="3"/>
  <c r="H38" i="3"/>
  <c r="K38" i="3" s="1"/>
  <c r="H37" i="3"/>
  <c r="L37" i="3" s="1"/>
  <c r="H36" i="3"/>
  <c r="H35" i="3"/>
  <c r="K34" i="3"/>
  <c r="J34" i="3"/>
  <c r="I34" i="3"/>
  <c r="H34" i="3"/>
  <c r="L33" i="3"/>
  <c r="K33" i="3"/>
  <c r="J33" i="3"/>
  <c r="I33" i="3"/>
  <c r="H33" i="3"/>
  <c r="L32" i="3"/>
  <c r="K32" i="3"/>
  <c r="J32" i="3"/>
  <c r="I32" i="3"/>
  <c r="H32" i="3"/>
  <c r="L31" i="3"/>
  <c r="K31" i="3"/>
  <c r="J31" i="3"/>
  <c r="I31" i="3"/>
  <c r="H31" i="3"/>
  <c r="H30" i="3"/>
  <c r="K30" i="3" s="1"/>
  <c r="H29" i="3"/>
  <c r="L29" i="3" s="1"/>
  <c r="H28" i="3"/>
  <c r="H27" i="3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K112" i="2" l="1"/>
  <c r="M88" i="2"/>
  <c r="M110" i="2"/>
  <c r="K120" i="2"/>
  <c r="M102" i="2"/>
  <c r="L80" i="2"/>
  <c r="J87" i="2"/>
  <c r="N123" i="2"/>
  <c r="L70" i="2"/>
  <c r="N67" i="2"/>
  <c r="K87" i="2"/>
  <c r="M103" i="2"/>
  <c r="J110" i="2"/>
  <c r="N103" i="2"/>
  <c r="M72" i="2"/>
  <c r="N120" i="2"/>
  <c r="K79" i="2"/>
  <c r="L71" i="2"/>
  <c r="J86" i="2"/>
  <c r="J111" i="2"/>
  <c r="M70" i="2"/>
  <c r="K72" i="2"/>
  <c r="M78" i="2"/>
  <c r="J80" i="2"/>
  <c r="N86" i="2"/>
  <c r="L88" i="2"/>
  <c r="J95" i="2"/>
  <c r="N96" i="2"/>
  <c r="L103" i="2"/>
  <c r="K110" i="2"/>
  <c r="N111" i="2"/>
  <c r="M118" i="2"/>
  <c r="L120" i="2"/>
  <c r="L72" i="2"/>
  <c r="L87" i="2"/>
  <c r="M95" i="2"/>
  <c r="K104" i="2"/>
  <c r="J70" i="2"/>
  <c r="M71" i="2"/>
  <c r="J78" i="2"/>
  <c r="M79" i="2"/>
  <c r="K86" i="2"/>
  <c r="N87" i="2"/>
  <c r="L94" i="2"/>
  <c r="K96" i="2"/>
  <c r="N102" i="2"/>
  <c r="M104" i="2"/>
  <c r="K111" i="2"/>
  <c r="J118" i="2"/>
  <c r="M119" i="2"/>
  <c r="J71" i="2"/>
  <c r="M80" i="2"/>
  <c r="N88" i="2"/>
  <c r="N72" i="2"/>
  <c r="K119" i="2"/>
  <c r="K94" i="2"/>
  <c r="L104" i="2"/>
  <c r="N112" i="2"/>
  <c r="L119" i="2"/>
  <c r="K70" i="2"/>
  <c r="N71" i="2"/>
  <c r="K78" i="2"/>
  <c r="N79" i="2"/>
  <c r="L86" i="2"/>
  <c r="J88" i="2"/>
  <c r="M94" i="2"/>
  <c r="L96" i="2"/>
  <c r="J103" i="2"/>
  <c r="L111" i="2"/>
  <c r="K118" i="2"/>
  <c r="L112" i="2"/>
  <c r="N80" i="2"/>
  <c r="J85" i="2"/>
  <c r="J93" i="2"/>
  <c r="J101" i="2"/>
  <c r="J109" i="2"/>
  <c r="J117" i="2"/>
  <c r="J68" i="2"/>
  <c r="K69" i="2"/>
  <c r="J76" i="2"/>
  <c r="K77" i="2"/>
  <c r="J84" i="2"/>
  <c r="K85" i="2"/>
  <c r="J92" i="2"/>
  <c r="K93" i="2"/>
  <c r="J100" i="2"/>
  <c r="K101" i="2"/>
  <c r="J108" i="2"/>
  <c r="K109" i="2"/>
  <c r="J116" i="2"/>
  <c r="K117" i="2"/>
  <c r="J67" i="2"/>
  <c r="K68" i="2"/>
  <c r="L69" i="2"/>
  <c r="J75" i="2"/>
  <c r="K76" i="2"/>
  <c r="L77" i="2"/>
  <c r="J83" i="2"/>
  <c r="K84" i="2"/>
  <c r="L85" i="2"/>
  <c r="J91" i="2"/>
  <c r="K92" i="2"/>
  <c r="L93" i="2"/>
  <c r="J99" i="2"/>
  <c r="K100" i="2"/>
  <c r="L101" i="2"/>
  <c r="J107" i="2"/>
  <c r="K108" i="2"/>
  <c r="L109" i="2"/>
  <c r="J115" i="2"/>
  <c r="K116" i="2"/>
  <c r="L117" i="2"/>
  <c r="J123" i="2"/>
  <c r="K124" i="2"/>
  <c r="L124" i="2"/>
  <c r="J69" i="2"/>
  <c r="M69" i="2"/>
  <c r="L76" i="2"/>
  <c r="M85" i="2"/>
  <c r="L92" i="2"/>
  <c r="M93" i="2"/>
  <c r="M101" i="2"/>
  <c r="L108" i="2"/>
  <c r="M117" i="2"/>
  <c r="J65" i="2"/>
  <c r="K66" i="2"/>
  <c r="L67" i="2"/>
  <c r="M68" i="2"/>
  <c r="N69" i="2"/>
  <c r="J73" i="2"/>
  <c r="K74" i="2"/>
  <c r="L75" i="2"/>
  <c r="M76" i="2"/>
  <c r="N77" i="2"/>
  <c r="J81" i="2"/>
  <c r="K82" i="2"/>
  <c r="L83" i="2"/>
  <c r="M84" i="2"/>
  <c r="N85" i="2"/>
  <c r="J89" i="2"/>
  <c r="K90" i="2"/>
  <c r="L91" i="2"/>
  <c r="M92" i="2"/>
  <c r="N93" i="2"/>
  <c r="J97" i="2"/>
  <c r="K98" i="2"/>
  <c r="L99" i="2"/>
  <c r="M100" i="2"/>
  <c r="N101" i="2"/>
  <c r="J105" i="2"/>
  <c r="K106" i="2"/>
  <c r="L107" i="2"/>
  <c r="M108" i="2"/>
  <c r="N109" i="2"/>
  <c r="J113" i="2"/>
  <c r="K114" i="2"/>
  <c r="L115" i="2"/>
  <c r="M116" i="2"/>
  <c r="N117" i="2"/>
  <c r="J121" i="2"/>
  <c r="K122" i="2"/>
  <c r="L123" i="2"/>
  <c r="M124" i="2"/>
  <c r="M77" i="2"/>
  <c r="L84" i="2"/>
  <c r="M109" i="2"/>
  <c r="L116" i="2"/>
  <c r="K65" i="2"/>
  <c r="L66" i="2"/>
  <c r="M67" i="2"/>
  <c r="N68" i="2"/>
  <c r="K73" i="2"/>
  <c r="L74" i="2"/>
  <c r="M75" i="2"/>
  <c r="N76" i="2"/>
  <c r="K81" i="2"/>
  <c r="L82" i="2"/>
  <c r="M83" i="2"/>
  <c r="N84" i="2"/>
  <c r="K89" i="2"/>
  <c r="L90" i="2"/>
  <c r="M91" i="2"/>
  <c r="N92" i="2"/>
  <c r="J96" i="2"/>
  <c r="K97" i="2"/>
  <c r="L98" i="2"/>
  <c r="M99" i="2"/>
  <c r="N100" i="2"/>
  <c r="J104" i="2"/>
  <c r="K105" i="2"/>
  <c r="L106" i="2"/>
  <c r="M107" i="2"/>
  <c r="N108" i="2"/>
  <c r="J112" i="2"/>
  <c r="K113" i="2"/>
  <c r="L114" i="2"/>
  <c r="M115" i="2"/>
  <c r="N116" i="2"/>
  <c r="J120" i="2"/>
  <c r="K121" i="2"/>
  <c r="L122" i="2"/>
  <c r="M123" i="2"/>
  <c r="N124" i="2"/>
  <c r="L68" i="2"/>
  <c r="L100" i="2"/>
  <c r="J37" i="1"/>
  <c r="K29" i="1"/>
  <c r="J32" i="1"/>
  <c r="J40" i="1"/>
  <c r="J27" i="1"/>
  <c r="L29" i="1"/>
  <c r="K32" i="1"/>
  <c r="J35" i="1"/>
  <c r="L37" i="1"/>
  <c r="K40" i="1"/>
  <c r="J43" i="1"/>
  <c r="K37" i="1"/>
  <c r="M29" i="1"/>
  <c r="K35" i="1"/>
  <c r="M37" i="1"/>
  <c r="L40" i="1"/>
  <c r="J25" i="1"/>
  <c r="L27" i="1"/>
  <c r="N29" i="1"/>
  <c r="K30" i="1"/>
  <c r="M32" i="1"/>
  <c r="J33" i="1"/>
  <c r="L35" i="1"/>
  <c r="N37" i="1"/>
  <c r="K38" i="1"/>
  <c r="M40" i="1"/>
  <c r="J41" i="1"/>
  <c r="L43" i="1"/>
  <c r="J29" i="1"/>
  <c r="L32" i="1"/>
  <c r="K43" i="1"/>
  <c r="K25" i="1"/>
  <c r="M27" i="1"/>
  <c r="J28" i="1"/>
  <c r="L30" i="1"/>
  <c r="N32" i="1"/>
  <c r="K33" i="1"/>
  <c r="M35" i="1"/>
  <c r="J36" i="1"/>
  <c r="L38" i="1"/>
  <c r="N40" i="1"/>
  <c r="K41" i="1"/>
  <c r="M43" i="1"/>
  <c r="J44" i="1"/>
  <c r="K27" i="1"/>
  <c r="K28" i="1"/>
  <c r="K36" i="1"/>
  <c r="K44" i="1"/>
  <c r="I43" i="3"/>
  <c r="I28" i="3"/>
  <c r="J35" i="3"/>
  <c r="J43" i="3"/>
  <c r="L30" i="3"/>
  <c r="L38" i="3"/>
  <c r="L46" i="3"/>
  <c r="I27" i="3"/>
  <c r="J27" i="3"/>
  <c r="I44" i="3"/>
  <c r="K27" i="3"/>
  <c r="I29" i="3"/>
  <c r="L34" i="3"/>
  <c r="I37" i="3"/>
  <c r="J44" i="3"/>
  <c r="I45" i="3"/>
  <c r="L27" i="3"/>
  <c r="K28" i="3"/>
  <c r="J29" i="3"/>
  <c r="I30" i="3"/>
  <c r="L35" i="3"/>
  <c r="K36" i="3"/>
  <c r="J37" i="3"/>
  <c r="I38" i="3"/>
  <c r="L43" i="3"/>
  <c r="K44" i="3"/>
  <c r="J45" i="3"/>
  <c r="I46" i="3"/>
  <c r="J28" i="3"/>
  <c r="J36" i="3"/>
  <c r="K43" i="3"/>
  <c r="L28" i="3"/>
  <c r="K29" i="3"/>
  <c r="J30" i="3"/>
  <c r="L36" i="3"/>
  <c r="K37" i="3"/>
  <c r="J38" i="3"/>
  <c r="L44" i="3"/>
  <c r="K45" i="3"/>
  <c r="J46" i="3"/>
  <c r="I35" i="3"/>
  <c r="I36" i="3"/>
  <c r="K35" i="3"/>
  <c r="L42" i="3"/>
  <c r="M5" i="2"/>
  <c r="J6" i="2"/>
  <c r="J20" i="2"/>
  <c r="M27" i="2"/>
  <c r="J28" i="2"/>
  <c r="O45" i="2"/>
  <c r="L46" i="2"/>
  <c r="J51" i="2"/>
  <c r="K51" i="2"/>
  <c r="M51" i="2"/>
  <c r="O52" i="2"/>
  <c r="N55" i="2"/>
  <c r="J59" i="2"/>
  <c r="K59" i="2"/>
  <c r="L61" i="2"/>
  <c r="I3" i="2"/>
  <c r="N3" i="2" s="1"/>
  <c r="I4" i="2"/>
  <c r="K4" i="2" s="1"/>
  <c r="I5" i="2"/>
  <c r="I6" i="2"/>
  <c r="M6" i="2" s="1"/>
  <c r="I7" i="2"/>
  <c r="I8" i="2"/>
  <c r="L8" i="2" s="1"/>
  <c r="I9" i="2"/>
  <c r="L9" i="2" s="1"/>
  <c r="I10" i="2"/>
  <c r="I11" i="2"/>
  <c r="N11" i="2" s="1"/>
  <c r="I12" i="2"/>
  <c r="I13" i="2"/>
  <c r="I14" i="2"/>
  <c r="J14" i="2" s="1"/>
  <c r="I15" i="2"/>
  <c r="I16" i="2"/>
  <c r="L16" i="2" s="1"/>
  <c r="I17" i="2"/>
  <c r="L17" i="2" s="1"/>
  <c r="I18" i="2"/>
  <c r="I19" i="2"/>
  <c r="K19" i="2" s="1"/>
  <c r="I20" i="2"/>
  <c r="I21" i="2"/>
  <c r="O21" i="2" s="1"/>
  <c r="I22" i="2"/>
  <c r="J22" i="2" s="1"/>
  <c r="I23" i="2"/>
  <c r="I24" i="2"/>
  <c r="I25" i="2"/>
  <c r="L25" i="2" s="1"/>
  <c r="I26" i="2"/>
  <c r="I27" i="2"/>
  <c r="K27" i="2" s="1"/>
  <c r="I28" i="2"/>
  <c r="I29" i="2"/>
  <c r="I30" i="2"/>
  <c r="J30" i="2" s="1"/>
  <c r="I31" i="2"/>
  <c r="I32" i="2"/>
  <c r="I33" i="2"/>
  <c r="L33" i="2" s="1"/>
  <c r="I34" i="2"/>
  <c r="I35" i="2"/>
  <c r="M35" i="2" s="1"/>
  <c r="I36" i="2"/>
  <c r="J36" i="2" s="1"/>
  <c r="I37" i="2"/>
  <c r="M37" i="2" s="1"/>
  <c r="I38" i="2"/>
  <c r="L38" i="2" s="1"/>
  <c r="I39" i="2"/>
  <c r="O39" i="2" s="1"/>
  <c r="I40" i="2"/>
  <c r="L40" i="2" s="1"/>
  <c r="I41" i="2"/>
  <c r="L41" i="2" s="1"/>
  <c r="I42" i="2"/>
  <c r="I43" i="2"/>
  <c r="K43" i="2" s="1"/>
  <c r="I44" i="2"/>
  <c r="I45" i="2"/>
  <c r="M45" i="2" s="1"/>
  <c r="I46" i="2"/>
  <c r="J46" i="2" s="1"/>
  <c r="I47" i="2"/>
  <c r="O47" i="2" s="1"/>
  <c r="I48" i="2"/>
  <c r="L48" i="2" s="1"/>
  <c r="I49" i="2"/>
  <c r="L49" i="2" s="1"/>
  <c r="I50" i="2"/>
  <c r="M50" i="2" s="1"/>
  <c r="I51" i="2"/>
  <c r="I52" i="2"/>
  <c r="J52" i="2" s="1"/>
  <c r="I53" i="2"/>
  <c r="L53" i="2" s="1"/>
  <c r="I54" i="2"/>
  <c r="J54" i="2" s="1"/>
  <c r="I55" i="2"/>
  <c r="I56" i="2"/>
  <c r="I57" i="2"/>
  <c r="L57" i="2" s="1"/>
  <c r="I58" i="2"/>
  <c r="M58" i="2" s="1"/>
  <c r="I59" i="2"/>
  <c r="I60" i="2"/>
  <c r="J60" i="2" s="1"/>
  <c r="I61" i="2"/>
  <c r="O61" i="2" s="1"/>
  <c r="I2" i="2"/>
  <c r="K2" i="2" s="1"/>
  <c r="N2" i="1"/>
  <c r="N7" i="1"/>
  <c r="N9" i="1"/>
  <c r="N14" i="1"/>
  <c r="N16" i="1"/>
  <c r="J6" i="1"/>
  <c r="J7" i="1"/>
  <c r="J8" i="1"/>
  <c r="J2" i="1"/>
  <c r="I3" i="1"/>
  <c r="K3" i="1" s="1"/>
  <c r="I4" i="1"/>
  <c r="K4" i="1" s="1"/>
  <c r="I5" i="1"/>
  <c r="K5" i="1" s="1"/>
  <c r="I6" i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" i="1"/>
  <c r="K2" i="1" s="1"/>
  <c r="J2" i="3"/>
  <c r="K2" i="3"/>
  <c r="H22" i="3"/>
  <c r="J22" i="3" s="1"/>
  <c r="H23" i="3"/>
  <c r="K23" i="3" s="1"/>
  <c r="H24" i="3"/>
  <c r="L24" i="3" s="1"/>
  <c r="H3" i="3"/>
  <c r="H4" i="3"/>
  <c r="H5" i="3"/>
  <c r="J5" i="3" s="1"/>
  <c r="H6" i="3"/>
  <c r="J6" i="3" s="1"/>
  <c r="H7" i="3"/>
  <c r="K7" i="3" s="1"/>
  <c r="H8" i="3"/>
  <c r="L8" i="3" s="1"/>
  <c r="H9" i="3"/>
  <c r="H10" i="3"/>
  <c r="H11" i="3"/>
  <c r="H12" i="3"/>
  <c r="H13" i="3"/>
  <c r="J13" i="3" s="1"/>
  <c r="H14" i="3"/>
  <c r="J14" i="3" s="1"/>
  <c r="H15" i="3"/>
  <c r="K15" i="3" s="1"/>
  <c r="H16" i="3"/>
  <c r="L16" i="3" s="1"/>
  <c r="H17" i="3"/>
  <c r="H18" i="3"/>
  <c r="H19" i="3"/>
  <c r="H20" i="3"/>
  <c r="H21" i="3"/>
  <c r="J21" i="3" s="1"/>
  <c r="H2" i="3"/>
  <c r="I2" i="4"/>
  <c r="J2" i="4"/>
  <c r="K2" i="4"/>
  <c r="I3" i="4"/>
  <c r="J3" i="4"/>
  <c r="K3" i="4"/>
  <c r="I4" i="4"/>
  <c r="J4" i="4"/>
  <c r="K4" i="4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" i="4"/>
  <c r="M2" i="2" l="1"/>
  <c r="N40" i="2"/>
  <c r="L22" i="2"/>
  <c r="K17" i="2"/>
  <c r="K41" i="2"/>
  <c r="M53" i="2"/>
  <c r="M43" i="2"/>
  <c r="O37" i="2"/>
  <c r="O31" i="2"/>
  <c r="K11" i="2"/>
  <c r="K33" i="2"/>
  <c r="O60" i="2"/>
  <c r="M19" i="2"/>
  <c r="J2" i="2"/>
  <c r="K57" i="2"/>
  <c r="K49" i="2"/>
  <c r="K25" i="2"/>
  <c r="J42" i="2"/>
  <c r="K42" i="2"/>
  <c r="L42" i="2"/>
  <c r="M42" i="2"/>
  <c r="O42" i="2"/>
  <c r="J18" i="2"/>
  <c r="K18" i="2"/>
  <c r="L18" i="2"/>
  <c r="M18" i="2"/>
  <c r="O18" i="2"/>
  <c r="O56" i="2"/>
  <c r="J56" i="2"/>
  <c r="M56" i="2"/>
  <c r="O24" i="2"/>
  <c r="J24" i="2"/>
  <c r="K24" i="2"/>
  <c r="M24" i="2"/>
  <c r="J31" i="2"/>
  <c r="K31" i="2"/>
  <c r="L31" i="2"/>
  <c r="M31" i="2"/>
  <c r="N31" i="2"/>
  <c r="N58" i="2"/>
  <c r="M46" i="2"/>
  <c r="N46" i="2"/>
  <c r="O46" i="2"/>
  <c r="K46" i="2"/>
  <c r="M22" i="2"/>
  <c r="N22" i="2"/>
  <c r="O22" i="2"/>
  <c r="K22" i="2"/>
  <c r="L56" i="2"/>
  <c r="L54" i="2"/>
  <c r="N50" i="2"/>
  <c r="L30" i="2"/>
  <c r="N24" i="2"/>
  <c r="J58" i="2"/>
  <c r="K58" i="2"/>
  <c r="L58" i="2"/>
  <c r="O58" i="2"/>
  <c r="J34" i="2"/>
  <c r="K34" i="2"/>
  <c r="L34" i="2"/>
  <c r="M34" i="2"/>
  <c r="O34" i="2"/>
  <c r="O40" i="2"/>
  <c r="J40" i="2"/>
  <c r="K40" i="2"/>
  <c r="M40" i="2"/>
  <c r="N48" i="2"/>
  <c r="J53" i="2"/>
  <c r="K53" i="2"/>
  <c r="N53" i="2"/>
  <c r="J45" i="2"/>
  <c r="K45" i="2"/>
  <c r="L45" i="2"/>
  <c r="N45" i="2"/>
  <c r="J37" i="2"/>
  <c r="K37" i="2"/>
  <c r="L37" i="2"/>
  <c r="N37" i="2"/>
  <c r="J29" i="2"/>
  <c r="K29" i="2"/>
  <c r="L29" i="2"/>
  <c r="N29" i="2"/>
  <c r="J21" i="2"/>
  <c r="K21" i="2"/>
  <c r="L21" i="2"/>
  <c r="N21" i="2"/>
  <c r="J13" i="2"/>
  <c r="K13" i="2"/>
  <c r="L13" i="2"/>
  <c r="N13" i="2"/>
  <c r="O13" i="2"/>
  <c r="K56" i="2"/>
  <c r="L24" i="2"/>
  <c r="M21" i="2"/>
  <c r="N18" i="2"/>
  <c r="J50" i="2"/>
  <c r="K50" i="2"/>
  <c r="L50" i="2"/>
  <c r="O50" i="2"/>
  <c r="J26" i="2"/>
  <c r="K26" i="2"/>
  <c r="L26" i="2"/>
  <c r="M26" i="2"/>
  <c r="O26" i="2"/>
  <c r="O32" i="2"/>
  <c r="J32" i="2"/>
  <c r="K32" i="2"/>
  <c r="M32" i="2"/>
  <c r="O8" i="2"/>
  <c r="J8" i="2"/>
  <c r="K8" i="2"/>
  <c r="M8" i="2"/>
  <c r="N8" i="2"/>
  <c r="J55" i="2"/>
  <c r="K55" i="2"/>
  <c r="L55" i="2"/>
  <c r="M55" i="2"/>
  <c r="J47" i="2"/>
  <c r="K47" i="2"/>
  <c r="L47" i="2"/>
  <c r="M47" i="2"/>
  <c r="N47" i="2"/>
  <c r="J23" i="2"/>
  <c r="K23" i="2"/>
  <c r="L23" i="2"/>
  <c r="M23" i="2"/>
  <c r="N23" i="2"/>
  <c r="J15" i="2"/>
  <c r="K15" i="2"/>
  <c r="L15" i="2"/>
  <c r="M15" i="2"/>
  <c r="N15" i="2"/>
  <c r="J7" i="2"/>
  <c r="K7" i="2"/>
  <c r="L7" i="2"/>
  <c r="M7" i="2"/>
  <c r="N7" i="2"/>
  <c r="N56" i="2"/>
  <c r="O15" i="2"/>
  <c r="N2" i="2"/>
  <c r="O2" i="2"/>
  <c r="L2" i="2"/>
  <c r="K60" i="2"/>
  <c r="L60" i="2"/>
  <c r="M60" i="2"/>
  <c r="N60" i="2"/>
  <c r="K44" i="2"/>
  <c r="L44" i="2"/>
  <c r="M44" i="2"/>
  <c r="N44" i="2"/>
  <c r="O44" i="2"/>
  <c r="K28" i="2"/>
  <c r="L28" i="2"/>
  <c r="M28" i="2"/>
  <c r="N28" i="2"/>
  <c r="O28" i="2"/>
  <c r="K12" i="2"/>
  <c r="L12" i="2"/>
  <c r="M12" i="2"/>
  <c r="N12" i="2"/>
  <c r="O12" i="2"/>
  <c r="J12" i="2"/>
  <c r="J44" i="2"/>
  <c r="N32" i="2"/>
  <c r="O29" i="2"/>
  <c r="M13" i="2"/>
  <c r="O7" i="2"/>
  <c r="J10" i="2"/>
  <c r="K10" i="2"/>
  <c r="L10" i="2"/>
  <c r="M10" i="2"/>
  <c r="O10" i="2"/>
  <c r="N34" i="2"/>
  <c r="O48" i="2"/>
  <c r="J48" i="2"/>
  <c r="K48" i="2"/>
  <c r="M48" i="2"/>
  <c r="O16" i="2"/>
  <c r="J16" i="2"/>
  <c r="K16" i="2"/>
  <c r="M16" i="2"/>
  <c r="N16" i="2"/>
  <c r="N10" i="2"/>
  <c r="J39" i="2"/>
  <c r="K39" i="2"/>
  <c r="L39" i="2"/>
  <c r="M39" i="2"/>
  <c r="N39" i="2"/>
  <c r="N42" i="2"/>
  <c r="M54" i="2"/>
  <c r="N54" i="2"/>
  <c r="O54" i="2"/>
  <c r="K54" i="2"/>
  <c r="M38" i="2"/>
  <c r="N38" i="2"/>
  <c r="O38" i="2"/>
  <c r="K38" i="2"/>
  <c r="M30" i="2"/>
  <c r="N30" i="2"/>
  <c r="O30" i="2"/>
  <c r="K30" i="2"/>
  <c r="M14" i="2"/>
  <c r="N14" i="2"/>
  <c r="O14" i="2"/>
  <c r="K14" i="2"/>
  <c r="L14" i="2"/>
  <c r="J61" i="2"/>
  <c r="K61" i="2"/>
  <c r="N61" i="2"/>
  <c r="K52" i="2"/>
  <c r="L52" i="2"/>
  <c r="M52" i="2"/>
  <c r="N52" i="2"/>
  <c r="K36" i="2"/>
  <c r="L36" i="2"/>
  <c r="M36" i="2"/>
  <c r="N36" i="2"/>
  <c r="O36" i="2"/>
  <c r="K20" i="2"/>
  <c r="L20" i="2"/>
  <c r="M20" i="2"/>
  <c r="N20" i="2"/>
  <c r="O20" i="2"/>
  <c r="N59" i="2"/>
  <c r="O59" i="2"/>
  <c r="L59" i="2"/>
  <c r="N51" i="2"/>
  <c r="O51" i="2"/>
  <c r="L51" i="2"/>
  <c r="N43" i="2"/>
  <c r="O43" i="2"/>
  <c r="J43" i="2"/>
  <c r="L43" i="2"/>
  <c r="N35" i="2"/>
  <c r="O35" i="2"/>
  <c r="J35" i="2"/>
  <c r="L35" i="2"/>
  <c r="N27" i="2"/>
  <c r="O27" i="2"/>
  <c r="J27" i="2"/>
  <c r="L27" i="2"/>
  <c r="N19" i="2"/>
  <c r="O19" i="2"/>
  <c r="J19" i="2"/>
  <c r="L19" i="2"/>
  <c r="M61" i="2"/>
  <c r="M59" i="2"/>
  <c r="O55" i="2"/>
  <c r="O53" i="2"/>
  <c r="J38" i="2"/>
  <c r="K35" i="2"/>
  <c r="L32" i="2"/>
  <c r="M29" i="2"/>
  <c r="N26" i="2"/>
  <c r="O23" i="2"/>
  <c r="M11" i="2"/>
  <c r="K9" i="2"/>
  <c r="L6" i="2"/>
  <c r="O5" i="2"/>
  <c r="J4" i="2"/>
  <c r="M3" i="2"/>
  <c r="J57" i="2"/>
  <c r="J49" i="2"/>
  <c r="J41" i="2"/>
  <c r="J33" i="2"/>
  <c r="J25" i="2"/>
  <c r="J17" i="2"/>
  <c r="L11" i="2"/>
  <c r="J9" i="2"/>
  <c r="K6" i="2"/>
  <c r="N5" i="2"/>
  <c r="L3" i="2"/>
  <c r="K3" i="2"/>
  <c r="J11" i="2"/>
  <c r="L5" i="2"/>
  <c r="O4" i="2"/>
  <c r="J3" i="2"/>
  <c r="O57" i="2"/>
  <c r="O49" i="2"/>
  <c r="O41" i="2"/>
  <c r="O33" i="2"/>
  <c r="O25" i="2"/>
  <c r="O17" i="2"/>
  <c r="O9" i="2"/>
  <c r="K5" i="2"/>
  <c r="N4" i="2"/>
  <c r="N57" i="2"/>
  <c r="N49" i="2"/>
  <c r="N41" i="2"/>
  <c r="N33" i="2"/>
  <c r="N25" i="2"/>
  <c r="N17" i="2"/>
  <c r="N9" i="2"/>
  <c r="O6" i="2"/>
  <c r="J5" i="2"/>
  <c r="M4" i="2"/>
  <c r="M57" i="2"/>
  <c r="M49" i="2"/>
  <c r="M41" i="2"/>
  <c r="M33" i="2"/>
  <c r="M25" i="2"/>
  <c r="M17" i="2"/>
  <c r="O11" i="2"/>
  <c r="M9" i="2"/>
  <c r="N6" i="2"/>
  <c r="L4" i="2"/>
  <c r="O3" i="2"/>
  <c r="J17" i="1"/>
  <c r="J9" i="1"/>
  <c r="J16" i="1"/>
  <c r="N17" i="1"/>
  <c r="N15" i="1"/>
  <c r="N6" i="1"/>
  <c r="J15" i="1"/>
  <c r="J14" i="1"/>
  <c r="N20" i="1"/>
  <c r="N11" i="1"/>
  <c r="J18" i="1"/>
  <c r="J10" i="1"/>
  <c r="N19" i="1"/>
  <c r="N18" i="1"/>
  <c r="N12" i="1"/>
  <c r="N8" i="1"/>
  <c r="N4" i="1"/>
  <c r="J21" i="1"/>
  <c r="J13" i="1"/>
  <c r="J5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20" i="1"/>
  <c r="J12" i="1"/>
  <c r="J4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N21" i="1"/>
  <c r="N13" i="1"/>
  <c r="N10" i="1"/>
  <c r="N5" i="1"/>
  <c r="N3" i="1"/>
  <c r="J19" i="1"/>
  <c r="J11" i="1"/>
  <c r="J3" i="1"/>
  <c r="K14" i="1"/>
  <c r="K6" i="1"/>
  <c r="K12" i="3"/>
  <c r="L12" i="3"/>
  <c r="K20" i="3"/>
  <c r="I13" i="3"/>
  <c r="L5" i="3"/>
  <c r="I11" i="3"/>
  <c r="I19" i="3"/>
  <c r="L13" i="3"/>
  <c r="K10" i="3"/>
  <c r="K3" i="3"/>
  <c r="I18" i="3"/>
  <c r="K24" i="3"/>
  <c r="L20" i="3"/>
  <c r="J10" i="3"/>
  <c r="K19" i="3"/>
  <c r="I5" i="3"/>
  <c r="L11" i="3"/>
  <c r="L4" i="3"/>
  <c r="I2" i="3"/>
  <c r="I3" i="3"/>
  <c r="L21" i="3"/>
  <c r="K18" i="3"/>
  <c r="K11" i="3"/>
  <c r="K4" i="3"/>
  <c r="L19" i="3"/>
  <c r="I10" i="3"/>
  <c r="I21" i="3"/>
  <c r="J18" i="3"/>
  <c r="L3" i="3"/>
  <c r="J23" i="3"/>
  <c r="L17" i="3"/>
  <c r="K16" i="3"/>
  <c r="J15" i="3"/>
  <c r="L9" i="3"/>
  <c r="K8" i="3"/>
  <c r="J7" i="3"/>
  <c r="I20" i="3"/>
  <c r="I12" i="3"/>
  <c r="I4" i="3"/>
  <c r="J24" i="3"/>
  <c r="L18" i="3"/>
  <c r="K17" i="3"/>
  <c r="J16" i="3"/>
  <c r="L10" i="3"/>
  <c r="K9" i="3"/>
  <c r="J8" i="3"/>
  <c r="L2" i="3"/>
  <c r="I17" i="3"/>
  <c r="J3" i="3"/>
  <c r="I24" i="3"/>
  <c r="I16" i="3"/>
  <c r="I8" i="3"/>
  <c r="L22" i="3"/>
  <c r="K21" i="3"/>
  <c r="J20" i="3"/>
  <c r="L14" i="3"/>
  <c r="K13" i="3"/>
  <c r="J12" i="3"/>
  <c r="L6" i="3"/>
  <c r="K5" i="3"/>
  <c r="J4" i="3"/>
  <c r="J17" i="3"/>
  <c r="J19" i="3"/>
  <c r="J11" i="3"/>
  <c r="I23" i="3"/>
  <c r="I15" i="3"/>
  <c r="I7" i="3"/>
  <c r="L23" i="3"/>
  <c r="K22" i="3"/>
  <c r="L15" i="3"/>
  <c r="K14" i="3"/>
  <c r="L7" i="3"/>
  <c r="K6" i="3"/>
  <c r="J9" i="3"/>
  <c r="I9" i="3"/>
  <c r="I22" i="3"/>
  <c r="I14" i="3"/>
  <c r="I6" i="3"/>
</calcChain>
</file>

<file path=xl/sharedStrings.xml><?xml version="1.0" encoding="utf-8"?>
<sst xmlns="http://schemas.openxmlformats.org/spreadsheetml/2006/main" count="83" uniqueCount="41">
  <si>
    <t>﻿ARR_DATA(I)</t>
  </si>
  <si>
    <t>Integral(9.230512,9.114113)</t>
  </si>
  <si>
    <t>Integral(8.448443,8.339152)</t>
  </si>
  <si>
    <t>Integral(8.319020,8.216213)</t>
  </si>
  <si>
    <t>Integral(8.204412,7.958834)</t>
  </si>
  <si>
    <t>Integral(7.941171,7.849354)</t>
  </si>
  <si>
    <t>Integral(6.624841,6.448401)</t>
  </si>
  <si>
    <t>Integral(6.426441,6.182410)</t>
  </si>
  <si>
    <t>Integral(6.111025,5.957020)</t>
  </si>
  <si>
    <t>Integral(5.951648,5.785108)</t>
  </si>
  <si>
    <t>Integral(5.770782,5.700209)</t>
  </si>
  <si>
    <t>Integral(1.888459,1.861289)</t>
  </si>
  <si>
    <t>Integral(2.153182,2.103394)</t>
  </si>
  <si>
    <t>﻿Integral(4.016307,3.976052)</t>
  </si>
  <si>
    <t>time</t>
  </si>
  <si>
    <t>Integral(9.134485,9.028734)</t>
  </si>
  <si>
    <t>Integral(8.352609,8.255056)</t>
  </si>
  <si>
    <t>Integral(8.207538,8.128336)</t>
  </si>
  <si>
    <t>Integral(8.130293,7.868828)</t>
  </si>
  <si>
    <t>Integral(7.860876,7.762343)</t>
  </si>
  <si>
    <t>Integral(6.532353,6.393210)</t>
  </si>
  <si>
    <t>Integral(6.383790,6.121664)</t>
  </si>
  <si>
    <t>Integral(6.044663,5.688580)</t>
  </si>
  <si>
    <t>Integral(5.688825,5.601425)</t>
  </si>
  <si>
    <t>Integral(6.765547,6.578954)</t>
  </si>
  <si>
    <t>Integral(9.332273,9.244935)</t>
  </si>
  <si>
    <t>Integral(3.914160,3.890951)</t>
  </si>
  <si>
    <t>Integral(9.283984,9.179738)</t>
  </si>
  <si>
    <t>Integral(8.372934,8.312432)</t>
  </si>
  <si>
    <t>Integral(8.251288,8.064751)</t>
  </si>
  <si>
    <t>Integral(8.006206,7.955137)</t>
  </si>
  <si>
    <t>Integral(6.472381,6.205817)</t>
  </si>
  <si>
    <t>Integral(6.186873,6.052704)</t>
  </si>
  <si>
    <t>Integral(6.038392,5.859500)</t>
  </si>
  <si>
    <t>Integral(5.867634,5.756064)</t>
  </si>
  <si>
    <t>Integral(4.107866,4.086070)</t>
  </si>
  <si>
    <t>Integral(9.326489,9.284624)</t>
  </si>
  <si>
    <t>Integral(8.325142,8.063667)</t>
  </si>
  <si>
    <t>Integral(6.204604,6.146989)</t>
  </si>
  <si>
    <t>Integral(6.115487,5.918482)</t>
  </si>
  <si>
    <t>﻿Integral(4.169123,4.153621)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</si>
</sst>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'25_1'!$L$65:$L$124</c:f>
              <c:numCache>
                <c:formatCode>0.00E+00</c:formatCode>
                <c:ptCount val="60"/>
                <c:pt idx="0">
                  <c:v>0.88502203024483261</c:v>
                </c:pt>
                <c:pt idx="1">
                  <c:v>0.88346512095939711</c:v>
                </c:pt>
                <c:pt idx="2">
                  <c:v>0.88686256643504413</c:v>
                </c:pt>
                <c:pt idx="3">
                  <c:v>0.88533594539197069</c:v>
                </c:pt>
                <c:pt idx="4">
                  <c:v>0.8838685477898629</c:v>
                </c:pt>
                <c:pt idx="5">
                  <c:v>0.88212282969820954</c:v>
                </c:pt>
                <c:pt idx="6">
                  <c:v>0.88283841207799507</c:v>
                </c:pt>
                <c:pt idx="7">
                  <c:v>0.88374678669577189</c:v>
                </c:pt>
                <c:pt idx="8">
                  <c:v>0.88321446523950509</c:v>
                </c:pt>
                <c:pt idx="9">
                  <c:v>0.8841032062232953</c:v>
                </c:pt>
                <c:pt idx="10">
                  <c:v>0.88361121656005226</c:v>
                </c:pt>
                <c:pt idx="11">
                  <c:v>0.88156896609927238</c:v>
                </c:pt>
                <c:pt idx="12">
                  <c:v>0.88476650816456071</c:v>
                </c:pt>
                <c:pt idx="13">
                  <c:v>0.88229760083078057</c:v>
                </c:pt>
                <c:pt idx="14">
                  <c:v>0.8829928330906357</c:v>
                </c:pt>
                <c:pt idx="15">
                  <c:v>0.8819987290497886</c:v>
                </c:pt>
                <c:pt idx="16">
                  <c:v>0.89062385539993516</c:v>
                </c:pt>
                <c:pt idx="17">
                  <c:v>0.88326305247309678</c:v>
                </c:pt>
                <c:pt idx="18">
                  <c:v>0.88324484828125049</c:v>
                </c:pt>
                <c:pt idx="19">
                  <c:v>0.88328502234427697</c:v>
                </c:pt>
                <c:pt idx="20">
                  <c:v>0.88438125604263551</c:v>
                </c:pt>
                <c:pt idx="21">
                  <c:v>0.88542073671532262</c:v>
                </c:pt>
                <c:pt idx="22">
                  <c:v>0.88486354509305154</c:v>
                </c:pt>
                <c:pt idx="23">
                  <c:v>0.88257682488537947</c:v>
                </c:pt>
                <c:pt idx="24">
                  <c:v>0.87682950424835182</c:v>
                </c:pt>
                <c:pt idx="25">
                  <c:v>0.88325902122984201</c:v>
                </c:pt>
                <c:pt idx="26">
                  <c:v>0.88213496265369473</c:v>
                </c:pt>
                <c:pt idx="27">
                  <c:v>0.88267559349919955</c:v>
                </c:pt>
                <c:pt idx="28">
                  <c:v>0.88577278071330556</c:v>
                </c:pt>
                <c:pt idx="29">
                  <c:v>0.87898684168176056</c:v>
                </c:pt>
                <c:pt idx="30">
                  <c:v>0.88126100835111476</c:v>
                </c:pt>
                <c:pt idx="31">
                  <c:v>0.88049369743552564</c:v>
                </c:pt>
                <c:pt idx="32">
                  <c:v>0.88332909312853114</c:v>
                </c:pt>
                <c:pt idx="33">
                  <c:v>0.88431930065057962</c:v>
                </c:pt>
                <c:pt idx="34">
                  <c:v>0.88339427352853617</c:v>
                </c:pt>
                <c:pt idx="35">
                  <c:v>0.88433008009380409</c:v>
                </c:pt>
                <c:pt idx="36">
                  <c:v>0.88315308129184811</c:v>
                </c:pt>
                <c:pt idx="37">
                  <c:v>0.88200809832472993</c:v>
                </c:pt>
                <c:pt idx="38">
                  <c:v>0.8834000772758529</c:v>
                </c:pt>
                <c:pt idx="39">
                  <c:v>0.88268882308925045</c:v>
                </c:pt>
                <c:pt idx="40">
                  <c:v>0.88150578431827742</c:v>
                </c:pt>
                <c:pt idx="41">
                  <c:v>0.88276837121481821</c:v>
                </c:pt>
                <c:pt idx="42">
                  <c:v>0.8832297172561856</c:v>
                </c:pt>
                <c:pt idx="43">
                  <c:v>0.88216316926696126</c:v>
                </c:pt>
                <c:pt idx="44">
                  <c:v>0.88358672251773973</c:v>
                </c:pt>
                <c:pt idx="45">
                  <c:v>0.88206146177701894</c:v>
                </c:pt>
                <c:pt idx="46">
                  <c:v>0.88342751140650178</c:v>
                </c:pt>
                <c:pt idx="47">
                  <c:v>0.88127352294753025</c:v>
                </c:pt>
                <c:pt idx="48">
                  <c:v>0.88473215868364075</c:v>
                </c:pt>
                <c:pt idx="49">
                  <c:v>0.88201431973946443</c:v>
                </c:pt>
                <c:pt idx="50">
                  <c:v>0.88292986661287542</c:v>
                </c:pt>
                <c:pt idx="51">
                  <c:v>0.88123861741499676</c:v>
                </c:pt>
                <c:pt idx="52">
                  <c:v>0.87941156045088753</c:v>
                </c:pt>
                <c:pt idx="53">
                  <c:v>0.88162472071026277</c:v>
                </c:pt>
                <c:pt idx="54">
                  <c:v>0.88166728773304881</c:v>
                </c:pt>
                <c:pt idx="55">
                  <c:v>0.88103243042639678</c:v>
                </c:pt>
                <c:pt idx="56">
                  <c:v>0.88076131997671592</c:v>
                </c:pt>
                <c:pt idx="57">
                  <c:v>0.88172036905371587</c:v>
                </c:pt>
                <c:pt idx="58">
                  <c:v>0.88081147542445626</c:v>
                </c:pt>
                <c:pt idx="59">
                  <c:v>0.88396870377794234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CD-B74C-ADDD-F8E79BD64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233567"/>
        <c:axId val="1928618751"/>
      </c:scatterChart>
      <c:valAx>
        <c:axId val="174623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618751"/>
        <c:crosses val="autoZero"/>
        <c:crossBetween val="midCat"/>
      </c:valAx>
      <c:valAx>
        <c:axId val="192861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23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'33_1'!$E$25:$E$44</c:f>
              <c:numCache>
                <c:formatCode>0.00E+00</c:formatCode>
                <c:ptCount val="20"/>
                <c:pt idx="0">
                  <c:v>11484400</c:v>
                </c:pt>
                <c:pt idx="1">
                  <c:v>11339100</c:v>
                </c:pt>
                <c:pt idx="2">
                  <c:v>11269100</c:v>
                </c:pt>
                <c:pt idx="3">
                  <c:v>11187400</c:v>
                </c:pt>
                <c:pt idx="4">
                  <c:v>11085000</c:v>
                </c:pt>
                <c:pt idx="5">
                  <c:v>11026000</c:v>
                </c:pt>
                <c:pt idx="6">
                  <c:v>10983200</c:v>
                </c:pt>
                <c:pt idx="7">
                  <c:v>10973000</c:v>
                </c:pt>
                <c:pt idx="8">
                  <c:v>10904800</c:v>
                </c:pt>
                <c:pt idx="9">
                  <c:v>10878300</c:v>
                </c:pt>
                <c:pt idx="10">
                  <c:v>10858900</c:v>
                </c:pt>
                <c:pt idx="11">
                  <c:v>10904800</c:v>
                </c:pt>
                <c:pt idx="12">
                  <c:v>10805600</c:v>
                </c:pt>
                <c:pt idx="13">
                  <c:v>10801100</c:v>
                </c:pt>
                <c:pt idx="14">
                  <c:v>10789100</c:v>
                </c:pt>
                <c:pt idx="15">
                  <c:v>10810300</c:v>
                </c:pt>
                <c:pt idx="16">
                  <c:v>10763900</c:v>
                </c:pt>
                <c:pt idx="17">
                  <c:v>10809600</c:v>
                </c:pt>
                <c:pt idx="18">
                  <c:v>10774500</c:v>
                </c:pt>
                <c:pt idx="19">
                  <c:v>10748200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9-0440-8A9D-8B3CB02FA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233567"/>
        <c:axId val="2112393791"/>
      </c:scatterChart>
      <c:valAx>
        <c:axId val="174623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93791"/>
        <c:crosses val="autoZero"/>
        <c:crossBetween val="midCat"/>
      </c:valAx>
      <c:valAx>
        <c:axId val="211239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23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'42_1'!$K$27:$K$49</c:f>
              <c:numCache>
                <c:formatCode>General</c:formatCode>
                <c:ptCount val="23"/>
                <c:pt idx="0">
                  <c:v>0.90024591355840622</c:v>
                </c:pt>
                <c:pt idx="1">
                  <c:v>0.89842384071975923</c:v>
                </c:pt>
                <c:pt idx="2">
                  <c:v>0.87882650565054121</c:v>
                </c:pt>
                <c:pt idx="3">
                  <c:v>0.87299300707186933</c:v>
                </c:pt>
                <c:pt idx="4">
                  <c:v>0.87696587736550491</c:v>
                </c:pt>
                <c:pt idx="5">
                  <c:v>0.86904195161949405</c:v>
                </c:pt>
                <c:pt idx="6">
                  <c:v>0.87168942654367576</c:v>
                </c:pt>
                <c:pt idx="7">
                  <c:v>0.87054558134000992</c:v>
                </c:pt>
                <c:pt idx="8">
                  <c:v>0.86455119975374062</c:v>
                </c:pt>
                <c:pt idx="9">
                  <c:v>0.86774000036028509</c:v>
                </c:pt>
                <c:pt idx="10">
                  <c:v>0.86886798820949329</c:v>
                </c:pt>
                <c:pt idx="11">
                  <c:v>0.86471715715803144</c:v>
                </c:pt>
                <c:pt idx="12">
                  <c:v>0.86782445766461247</c:v>
                </c:pt>
                <c:pt idx="13">
                  <c:v>0.86447573348817375</c:v>
                </c:pt>
                <c:pt idx="14">
                  <c:v>0.86027211590660635</c:v>
                </c:pt>
                <c:pt idx="15">
                  <c:v>0.86014833788818557</c:v>
                </c:pt>
                <c:pt idx="16">
                  <c:v>0.86143023169858612</c:v>
                </c:pt>
                <c:pt idx="17">
                  <c:v>0.85972746191668459</c:v>
                </c:pt>
                <c:pt idx="18">
                  <c:v>0.86327529208896303</c:v>
                </c:pt>
                <c:pt idx="19">
                  <c:v>0.86142724730269926</c:v>
                </c:pt>
                <c:pt idx="20">
                  <c:v>0.86315144478879247</c:v>
                </c:pt>
                <c:pt idx="21">
                  <c:v>0.8602099367715752</c:v>
                </c:pt>
                <c:pt idx="22">
                  <c:v>0.86519150544126733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51-9F41-B4AE-30E80F841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758879"/>
        <c:axId val="2073760591"/>
      </c:scatterChart>
      <c:valAx>
        <c:axId val="207375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760591"/>
        <c:crosses val="autoZero"/>
        <c:crossBetween val="midCat"/>
      </c:valAx>
      <c:valAx>
        <c:axId val="207376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75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'48_1'!$I$2:$I$21</c:f>
              <c:numCache>
                <c:formatCode>General</c:formatCode>
                <c:ptCount val="20"/>
                <c:pt idx="0">
                  <c:v>0.9067829162764165</c:v>
                </c:pt>
                <c:pt idx="1">
                  <c:v>0.88490983102928999</c:v>
                </c:pt>
                <c:pt idx="2">
                  <c:v>0.872640894963572</c:v>
                </c:pt>
                <c:pt idx="3">
                  <c:v>0.85948255918929284</c:v>
                </c:pt>
                <c:pt idx="4">
                  <c:v>0.85594196151778379</c:v>
                </c:pt>
                <c:pt idx="5">
                  <c:v>0.86233991426551293</c:v>
                </c:pt>
                <c:pt idx="6">
                  <c:v>0.83173643200964875</c:v>
                </c:pt>
                <c:pt idx="7">
                  <c:v>0.8409325337677479</c:v>
                </c:pt>
                <c:pt idx="8">
                  <c:v>0.84016006231786999</c:v>
                </c:pt>
                <c:pt idx="9">
                  <c:v>0.84712777812455542</c:v>
                </c:pt>
                <c:pt idx="10">
                  <c:v>0.83765734917519241</c:v>
                </c:pt>
                <c:pt idx="11">
                  <c:v>0.82999786693187361</c:v>
                </c:pt>
                <c:pt idx="12">
                  <c:v>0.82562937738726605</c:v>
                </c:pt>
                <c:pt idx="13">
                  <c:v>0.82832793378582636</c:v>
                </c:pt>
                <c:pt idx="14">
                  <c:v>0.83007574338141021</c:v>
                </c:pt>
                <c:pt idx="15">
                  <c:v>0.82974608085375445</c:v>
                </c:pt>
                <c:pt idx="16">
                  <c:v>0.82468517337135361</c:v>
                </c:pt>
                <c:pt idx="17">
                  <c:v>0.82787807399775915</c:v>
                </c:pt>
                <c:pt idx="18">
                  <c:v>0.82969153379691563</c:v>
                </c:pt>
                <c:pt idx="19">
                  <c:v>0.82556983249198468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E5-A146-B8AE-2E9095916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571919"/>
        <c:axId val="2146807775"/>
      </c:scatterChart>
      <c:valAx>
        <c:axId val="214657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07775"/>
        <c:crosses val="autoZero"/>
        <c:crossBetween val="midCat"/>
      </c:valAx>
      <c:valAx>
        <c:axId val="214680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57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527050</xdr:colOff>
      <xdr:row>60</xdr:row>
      <xdr:rowOff>95250</xdr:rowOff>
    </xdr:from>
    <xdr:to>
      <xdr:col>20</xdr:col>
      <xdr:colOff>146050</xdr:colOff>
      <xdr:row>73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2E3911-BEAA-8585-900C-4DC1AC2A3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209550</xdr:colOff>
      <xdr:row>21</xdr:row>
      <xdr:rowOff>95250</xdr:rowOff>
    </xdr:from>
    <xdr:to>
      <xdr:col>20</xdr:col>
      <xdr:colOff>654050</xdr:colOff>
      <xdr:row>34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7AD48-3375-E5AB-B30C-6919495B9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755650</xdr:colOff>
      <xdr:row>20</xdr:row>
      <xdr:rowOff>171450</xdr:rowOff>
    </xdr:from>
    <xdr:to>
      <xdr:col>18</xdr:col>
      <xdr:colOff>374650</xdr:colOff>
      <xdr:row>34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54A3D7-FB18-D4A6-82A7-9D9F844BE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311150</xdr:colOff>
      <xdr:row>9</xdr:row>
      <xdr:rowOff>57150</xdr:rowOff>
    </xdr:from>
    <xdr:to>
      <xdr:col>17</xdr:col>
      <xdr:colOff>755650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ECC4A4-485C-BD8D-AD20-70827E656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DA27-94EA-3241-8D35-0744AF74CE7F}">
  <dimension ref="A1:AD187"/>
  <sheetViews>
    <sheetView tabSelected="1" workbookViewId="0">
      <selection activeCell="L65" sqref="L65:L124"/>
    </sheetView>
  </sheetViews>
  <sheetFormatPr baseColWidth="10" defaultRowHeight="16" x14ac:dyDescent="0.2"/>
  <sheetData>
    <row r="1" spans="1:30" x14ac:dyDescent="0.2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25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25</v>
      </c>
    </row>
    <row r="2" spans="1:30" x14ac:dyDescent="0.2">
      <c r="A2">
        <v>1112</v>
      </c>
      <c r="B2" s="1">
        <v>1689290</v>
      </c>
      <c r="C2">
        <v>-7782.52</v>
      </c>
      <c r="D2">
        <v>318261</v>
      </c>
      <c r="E2" s="1">
        <v>73144100</v>
      </c>
      <c r="F2">
        <v>314821</v>
      </c>
      <c r="G2">
        <v>-4582.3500000000004</v>
      </c>
      <c r="I2" s="1">
        <f>SUM(B2:G2)</f>
        <v>75454107.13000001</v>
      </c>
      <c r="J2" s="1">
        <f>B2/$I2</f>
        <v>2.2388310779286266E-2</v>
      </c>
      <c r="K2" s="1">
        <f>C2/$I2</f>
        <v>-1.0314243049210672E-4</v>
      </c>
      <c r="L2" s="1">
        <f>D2/$I2</f>
        <v>4.2179413699994827E-3</v>
      </c>
      <c r="M2" s="1">
        <f>E2/$I2</f>
        <v>0.96938526983004258</v>
      </c>
      <c r="N2" s="1">
        <f>F2/$I2</f>
        <v>4.1723507437122593E-3</v>
      </c>
      <c r="O2" s="1">
        <f>B65/$I2</f>
        <v>2.4489853107880779E-4</v>
      </c>
      <c r="P2" s="1"/>
      <c r="Q2" s="1"/>
      <c r="R2" s="1"/>
      <c r="S2" s="1"/>
      <c r="T2" s="1"/>
      <c r="Z2" s="1"/>
      <c r="AA2" s="1"/>
      <c r="AB2" s="1"/>
      <c r="AC2" s="1"/>
      <c r="AD2" s="1"/>
    </row>
    <row r="3" spans="1:30" x14ac:dyDescent="0.2">
      <c r="A3">
        <v>1716</v>
      </c>
      <c r="B3" s="1">
        <v>2719910</v>
      </c>
      <c r="C3">
        <v>-16047.1</v>
      </c>
      <c r="D3">
        <v>281111</v>
      </c>
      <c r="E3" s="1">
        <v>71604000</v>
      </c>
      <c r="F3">
        <v>324426</v>
      </c>
      <c r="G3">
        <v>-13576.3</v>
      </c>
      <c r="I3" s="1">
        <f>SUM(B3:G3)</f>
        <v>74899823.600000009</v>
      </c>
      <c r="J3" s="1">
        <f>B3/$I3</f>
        <v>3.6313970704732072E-2</v>
      </c>
      <c r="K3" s="1">
        <f>C3/$I3</f>
        <v>-2.1424750057755809E-4</v>
      </c>
      <c r="L3" s="1">
        <f>D3/$I3</f>
        <v>3.7531597070410185E-3</v>
      </c>
      <c r="M3" s="1">
        <f>E3/$I3</f>
        <v>0.95599691105280504</v>
      </c>
      <c r="N3" s="1">
        <f>F3/$I3</f>
        <v>4.3314654749066718E-3</v>
      </c>
      <c r="O3" s="1">
        <f>B66/$I3</f>
        <v>5.0999719577443691E-4</v>
      </c>
      <c r="P3" s="1"/>
      <c r="Q3" s="1"/>
      <c r="R3" s="1"/>
      <c r="S3" s="1"/>
      <c r="T3" s="1"/>
      <c r="Z3" s="1"/>
      <c r="AA3" s="1"/>
      <c r="AB3" s="1"/>
      <c r="AC3" s="1"/>
      <c r="AD3" s="1"/>
    </row>
    <row r="4" spans="1:30" x14ac:dyDescent="0.2">
      <c r="A4">
        <v>2322</v>
      </c>
      <c r="B4" s="1">
        <v>3505920</v>
      </c>
      <c r="C4">
        <v>49655</v>
      </c>
      <c r="D4">
        <v>272057</v>
      </c>
      <c r="E4" s="1">
        <v>70479800</v>
      </c>
      <c r="F4">
        <v>298815</v>
      </c>
      <c r="G4">
        <v>-6011.8</v>
      </c>
      <c r="I4" s="1">
        <f>SUM(B4:G4)</f>
        <v>74600235.200000003</v>
      </c>
      <c r="J4" s="1">
        <f>B4/$I4</f>
        <v>4.699609847878871E-2</v>
      </c>
      <c r="K4" s="1">
        <f>C4/$I4</f>
        <v>6.656145234244516E-4</v>
      </c>
      <c r="L4" s="1">
        <f>D4/$I4</f>
        <v>3.6468651777119328E-3</v>
      </c>
      <c r="M4" s="1">
        <f>E4/$I4</f>
        <v>0.94476645832344508</v>
      </c>
      <c r="N4" s="1">
        <f>F4/$I4</f>
        <v>4.005550373921609E-3</v>
      </c>
      <c r="O4" s="1">
        <f>B67/$I4</f>
        <v>9.2667268158961506E-5</v>
      </c>
      <c r="P4" s="1"/>
      <c r="Q4" s="1"/>
      <c r="R4" s="1"/>
      <c r="S4" s="1"/>
      <c r="T4" s="1"/>
      <c r="Z4" s="1"/>
      <c r="AA4" s="1"/>
      <c r="AB4" s="1"/>
      <c r="AC4" s="1"/>
      <c r="AD4" s="1"/>
    </row>
    <row r="5" spans="1:30" x14ac:dyDescent="0.2">
      <c r="A5">
        <v>2925</v>
      </c>
      <c r="B5" s="1">
        <v>1677520</v>
      </c>
      <c r="C5">
        <v>-1812.34</v>
      </c>
      <c r="D5">
        <v>117663</v>
      </c>
      <c r="E5" s="1">
        <v>27585100</v>
      </c>
      <c r="F5">
        <v>129498</v>
      </c>
      <c r="G5">
        <v>3017.46</v>
      </c>
      <c r="I5" s="1">
        <f>SUM(B5:G5)</f>
        <v>29510986.120000001</v>
      </c>
      <c r="J5" s="1">
        <f>B5/$I5</f>
        <v>5.6843915455035289E-2</v>
      </c>
      <c r="K5" s="1">
        <f>C5/$I5</f>
        <v>-6.1412383599467458E-5</v>
      </c>
      <c r="L5" s="1">
        <f>D5/$I5</f>
        <v>3.9870914350862091E-3</v>
      </c>
      <c r="M5" s="1">
        <f>E5/$I5</f>
        <v>0.93474002826714075</v>
      </c>
      <c r="N5" s="1">
        <f>F5/$I5</f>
        <v>4.3881285252015834E-3</v>
      </c>
      <c r="O5" s="1">
        <f>B68/$I5</f>
        <v>4.7994668637660559E-4</v>
      </c>
      <c r="P5" s="1"/>
      <c r="Q5" s="1"/>
      <c r="R5" s="1"/>
      <c r="S5" s="1"/>
      <c r="T5" s="1"/>
      <c r="Z5" s="1"/>
      <c r="AA5" s="1"/>
      <c r="AB5" s="1"/>
      <c r="AC5" s="1"/>
      <c r="AD5" s="1"/>
    </row>
    <row r="6" spans="1:30" x14ac:dyDescent="0.2">
      <c r="A6">
        <v>3530</v>
      </c>
      <c r="B6" s="1">
        <v>1928780</v>
      </c>
      <c r="C6">
        <v>22103</v>
      </c>
      <c r="D6">
        <v>109287</v>
      </c>
      <c r="E6" s="1">
        <v>27225300</v>
      </c>
      <c r="F6">
        <v>107461</v>
      </c>
      <c r="G6">
        <v>733.90899999999999</v>
      </c>
      <c r="I6" s="1">
        <f>SUM(B6:G6)</f>
        <v>29393664.909000002</v>
      </c>
      <c r="J6" s="1">
        <f>B6/$I6</f>
        <v>6.5618901418768971E-2</v>
      </c>
      <c r="K6" s="1">
        <f>C6/$I6</f>
        <v>7.5196475391649156E-4</v>
      </c>
      <c r="L6" s="1">
        <f>D6/$I6</f>
        <v>3.7180460598684167E-3</v>
      </c>
      <c r="M6" s="1">
        <f>E6/$I6</f>
        <v>0.92623019566586695</v>
      </c>
      <c r="N6" s="1">
        <f>F6/$I6</f>
        <v>3.6559238302773423E-3</v>
      </c>
      <c r="O6" s="1">
        <f>B69/$I6</f>
        <v>2.3391843178748131E-3</v>
      </c>
      <c r="P6" s="1"/>
      <c r="Q6" s="1"/>
      <c r="R6" s="1"/>
      <c r="S6" s="1"/>
      <c r="T6" s="1"/>
      <c r="Z6" s="1"/>
      <c r="AA6" s="1"/>
      <c r="AB6" s="1"/>
      <c r="AC6" s="1"/>
      <c r="AD6" s="1"/>
    </row>
    <row r="7" spans="1:30" x14ac:dyDescent="0.2">
      <c r="A7">
        <v>4133</v>
      </c>
      <c r="B7" s="1">
        <v>2112430</v>
      </c>
      <c r="C7">
        <v>942.91600000000005</v>
      </c>
      <c r="D7">
        <v>102689</v>
      </c>
      <c r="E7" s="1">
        <v>26956600</v>
      </c>
      <c r="F7">
        <v>101855</v>
      </c>
      <c r="G7">
        <v>-3095.16</v>
      </c>
      <c r="I7" s="1">
        <f>SUM(B7:G7)</f>
        <v>29271421.756000001</v>
      </c>
      <c r="J7" s="1">
        <f>B7/$I7</f>
        <v>7.2166976295471474E-2</v>
      </c>
      <c r="K7" s="1">
        <f>C7/$I7</f>
        <v>3.221285279068219E-5</v>
      </c>
      <c r="L7" s="1">
        <f>D7/$I7</f>
        <v>3.5081657753419852E-3</v>
      </c>
      <c r="M7" s="1">
        <f>E7/$I7</f>
        <v>0.92091871125031655</v>
      </c>
      <c r="N7" s="1">
        <f>F7/$I7</f>
        <v>3.4796738214166846E-3</v>
      </c>
      <c r="O7" s="1">
        <f>B70/$I7</f>
        <v>4.2787467258684664E-4</v>
      </c>
      <c r="P7" s="1"/>
      <c r="Q7" s="1"/>
      <c r="R7" s="1"/>
      <c r="S7" s="1"/>
      <c r="T7" s="1"/>
      <c r="Z7" s="1"/>
      <c r="AA7" s="1"/>
      <c r="AB7" s="1"/>
      <c r="AC7" s="1"/>
      <c r="AD7" s="1"/>
    </row>
    <row r="8" spans="1:30" x14ac:dyDescent="0.2">
      <c r="A8">
        <v>4737</v>
      </c>
      <c r="B8" s="1">
        <v>2289030</v>
      </c>
      <c r="C8">
        <v>21056.1</v>
      </c>
      <c r="D8">
        <v>115933</v>
      </c>
      <c r="E8" s="1">
        <v>26648900</v>
      </c>
      <c r="F8">
        <v>107451</v>
      </c>
      <c r="G8">
        <v>1898.59</v>
      </c>
      <c r="I8" s="1">
        <f>SUM(B8:G8)</f>
        <v>29184268.690000001</v>
      </c>
      <c r="J8" s="1">
        <f>B8/$I8</f>
        <v>7.8433693998449822E-2</v>
      </c>
      <c r="K8" s="1">
        <f>C8/$I8</f>
        <v>7.2148801204036605E-4</v>
      </c>
      <c r="L8" s="1">
        <f>D8/$I8</f>
        <v>3.972448349878456E-3</v>
      </c>
      <c r="M8" s="1">
        <f>E8/$I8</f>
        <v>0.91312550206650389</v>
      </c>
      <c r="N8" s="1">
        <f>F8/$I8</f>
        <v>3.6818123195534488E-3</v>
      </c>
      <c r="O8" s="1">
        <f>B71/$I8</f>
        <v>7.0310482054433134E-4</v>
      </c>
      <c r="P8" s="1"/>
      <c r="Q8" s="1"/>
      <c r="R8" s="1"/>
      <c r="S8" s="1"/>
      <c r="T8" s="1"/>
      <c r="Z8" s="1"/>
      <c r="AA8" s="1"/>
      <c r="AB8" s="1"/>
      <c r="AC8" s="1"/>
      <c r="AD8" s="1"/>
    </row>
    <row r="9" spans="1:30" x14ac:dyDescent="0.2">
      <c r="A9">
        <v>5341</v>
      </c>
      <c r="B9" s="1">
        <v>6133120</v>
      </c>
      <c r="C9">
        <v>22729.4</v>
      </c>
      <c r="D9">
        <v>255772</v>
      </c>
      <c r="E9" s="1">
        <v>66634500</v>
      </c>
      <c r="F9">
        <v>270486</v>
      </c>
      <c r="G9">
        <v>39735.1</v>
      </c>
      <c r="I9" s="1">
        <f>SUM(B9:G9)</f>
        <v>73356342.5</v>
      </c>
      <c r="J9" s="1">
        <f>B9/$I9</f>
        <v>8.3607221829523473E-2</v>
      </c>
      <c r="K9" s="1">
        <f>C9/$I9</f>
        <v>3.098491449461238E-4</v>
      </c>
      <c r="L9" s="1">
        <f>D9/$I9</f>
        <v>3.4867060063688425E-3</v>
      </c>
      <c r="M9" s="1">
        <f>E9/$I9</f>
        <v>0.90836726217640962</v>
      </c>
      <c r="N9" s="1">
        <f>F9/$I9</f>
        <v>3.6872885258694569E-3</v>
      </c>
      <c r="O9" s="1">
        <f>B72/$I9</f>
        <v>5.0218288895742048E-4</v>
      </c>
      <c r="P9" s="1"/>
      <c r="Q9" s="1"/>
      <c r="R9" s="1"/>
      <c r="S9" s="1"/>
      <c r="T9" s="1"/>
      <c r="Z9" s="1"/>
      <c r="AA9" s="1"/>
      <c r="AB9" s="1"/>
      <c r="AC9" s="1"/>
      <c r="AD9" s="1"/>
    </row>
    <row r="10" spans="1:30" x14ac:dyDescent="0.2">
      <c r="A10">
        <v>5945</v>
      </c>
      <c r="B10" s="1">
        <v>2594940</v>
      </c>
      <c r="C10">
        <v>10738.1</v>
      </c>
      <c r="D10">
        <v>105000</v>
      </c>
      <c r="E10" s="1">
        <v>26426400</v>
      </c>
      <c r="F10">
        <v>110038</v>
      </c>
      <c r="G10">
        <v>17820.2</v>
      </c>
      <c r="I10" s="1">
        <f>SUM(B10:G10)</f>
        <v>29264936.300000001</v>
      </c>
      <c r="J10" s="1">
        <f>B10/$I10</f>
        <v>8.8670618428785028E-2</v>
      </c>
      <c r="K10" s="1">
        <f>C10/$I10</f>
        <v>3.6692716122536034E-4</v>
      </c>
      <c r="L10" s="1">
        <f>D10/$I10</f>
        <v>3.5879114488282689E-3</v>
      </c>
      <c r="M10" s="1">
        <f>E10/$I10</f>
        <v>0.90300555344109867</v>
      </c>
      <c r="N10" s="1">
        <f>F10/$I10</f>
        <v>3.7600628572015721E-3</v>
      </c>
      <c r="O10" s="1">
        <f>B73/$I10</f>
        <v>-8.5267911551886757E-5</v>
      </c>
      <c r="P10" s="1"/>
      <c r="Q10" s="1"/>
      <c r="R10" s="1"/>
      <c r="S10" s="1"/>
      <c r="T10" s="1"/>
      <c r="Z10" s="1"/>
      <c r="AA10" s="1"/>
      <c r="AB10" s="1"/>
      <c r="AC10" s="1"/>
      <c r="AD10" s="1"/>
    </row>
    <row r="11" spans="1:30" x14ac:dyDescent="0.2">
      <c r="A11">
        <v>6549</v>
      </c>
      <c r="B11" s="1">
        <v>2669190</v>
      </c>
      <c r="C11">
        <v>-5213.54</v>
      </c>
      <c r="D11">
        <v>109425</v>
      </c>
      <c r="E11" s="1">
        <v>26279800</v>
      </c>
      <c r="F11">
        <v>117592</v>
      </c>
      <c r="G11">
        <v>3457.64</v>
      </c>
      <c r="I11" s="1">
        <f>SUM(B11:G11)</f>
        <v>29174251.100000001</v>
      </c>
      <c r="J11" s="1">
        <f>B11/$I11</f>
        <v>9.1491294527179814E-2</v>
      </c>
      <c r="K11" s="1">
        <f>C11/$I11</f>
        <v>-1.7870347321443324E-4</v>
      </c>
      <c r="L11" s="1">
        <f>D11/$I11</f>
        <v>3.7507389521302913E-3</v>
      </c>
      <c r="M11" s="1">
        <f>E11/$I11</f>
        <v>0.90078747556951</v>
      </c>
      <c r="N11" s="1">
        <f>F11/$I11</f>
        <v>4.030677586099202E-3</v>
      </c>
      <c r="O11" s="1">
        <f>B74/$I11</f>
        <v>2.5300152434761214E-4</v>
      </c>
      <c r="P11" s="1"/>
      <c r="Q11" s="1"/>
      <c r="R11" s="1"/>
      <c r="S11" s="1"/>
      <c r="T11" s="1"/>
      <c r="Z11" s="1"/>
      <c r="AA11" s="1"/>
      <c r="AB11" s="1"/>
      <c r="AC11" s="1"/>
      <c r="AD11" s="1"/>
    </row>
    <row r="12" spans="1:30" x14ac:dyDescent="0.2">
      <c r="A12">
        <v>7153</v>
      </c>
      <c r="B12" s="1">
        <v>2778150</v>
      </c>
      <c r="C12">
        <v>11096.2</v>
      </c>
      <c r="D12">
        <v>109810</v>
      </c>
      <c r="E12" s="1">
        <v>26019300</v>
      </c>
      <c r="F12">
        <v>109780</v>
      </c>
      <c r="G12">
        <v>16893.099999999999</v>
      </c>
      <c r="I12" s="1">
        <f>SUM(B12:G12)</f>
        <v>29045029.300000001</v>
      </c>
      <c r="J12" s="1">
        <f>B12/$I12</f>
        <v>9.5649757185819057E-2</v>
      </c>
      <c r="K12" s="1">
        <f>C12/$I12</f>
        <v>3.8203438823867879E-4</v>
      </c>
      <c r="L12" s="1">
        <f>D12/$I12</f>
        <v>3.7806813298687219E-3</v>
      </c>
      <c r="M12" s="1">
        <f>E12/$I12</f>
        <v>0.89582626105321228</v>
      </c>
      <c r="N12" s="1">
        <f>F12/$I12</f>
        <v>3.7796484508968975E-3</v>
      </c>
      <c r="O12" s="1">
        <f>B75/$I12</f>
        <v>1.5357808573462173E-3</v>
      </c>
      <c r="P12" s="1"/>
      <c r="Q12" s="1"/>
      <c r="R12" s="1"/>
      <c r="S12" s="1"/>
      <c r="T12" s="1"/>
      <c r="Z12" s="1"/>
      <c r="AA12" s="1"/>
      <c r="AB12" s="1"/>
      <c r="AC12" s="1"/>
      <c r="AD12" s="1"/>
    </row>
    <row r="13" spans="1:30" x14ac:dyDescent="0.2">
      <c r="A13">
        <v>7757</v>
      </c>
      <c r="B13" s="1">
        <v>2843190</v>
      </c>
      <c r="C13">
        <v>1976.42</v>
      </c>
      <c r="D13">
        <v>94286.7</v>
      </c>
      <c r="E13" s="1">
        <v>25910800</v>
      </c>
      <c r="F13">
        <v>106844</v>
      </c>
      <c r="G13">
        <v>6863.29</v>
      </c>
      <c r="I13" s="1">
        <f>SUM(B13:G13)</f>
        <v>28963960.41</v>
      </c>
      <c r="J13" s="1">
        <f>B13/$I13</f>
        <v>9.8163026041782939E-2</v>
      </c>
      <c r="K13" s="1">
        <f>C13/$I13</f>
        <v>6.8237215215831732E-5</v>
      </c>
      <c r="L13" s="1">
        <f>D13/$I13</f>
        <v>3.2553110370723642E-3</v>
      </c>
      <c r="M13" s="1">
        <f>E13/$I13</f>
        <v>0.89458760588051778</v>
      </c>
      <c r="N13" s="1">
        <f>F13/$I13</f>
        <v>3.6888601726962518E-3</v>
      </c>
      <c r="O13" s="1">
        <f>B76/$I13</f>
        <v>2.0669479985661945E-3</v>
      </c>
      <c r="P13" s="1"/>
      <c r="Q13" s="1"/>
      <c r="R13" s="1"/>
      <c r="S13" s="1"/>
      <c r="T13" s="1"/>
      <c r="Z13" s="1"/>
      <c r="AA13" s="1"/>
      <c r="AB13" s="1"/>
      <c r="AC13" s="1"/>
      <c r="AD13" s="1"/>
    </row>
    <row r="14" spans="1:30" x14ac:dyDescent="0.2">
      <c r="A14">
        <v>8361</v>
      </c>
      <c r="B14" s="1">
        <v>2953360</v>
      </c>
      <c r="C14">
        <v>18046</v>
      </c>
      <c r="D14">
        <v>111241</v>
      </c>
      <c r="E14" s="1">
        <v>25910200</v>
      </c>
      <c r="F14">
        <v>124002</v>
      </c>
      <c r="G14">
        <v>-757.26599999999996</v>
      </c>
      <c r="I14" s="1">
        <f>SUM(B14:G14)</f>
        <v>29116091.734000001</v>
      </c>
      <c r="J14" s="1">
        <f>B14/$I14</f>
        <v>0.10143394336648713</v>
      </c>
      <c r="K14" s="1">
        <f>C14/$I14</f>
        <v>6.197947226181795E-4</v>
      </c>
      <c r="L14" s="1">
        <f>D14/$I14</f>
        <v>3.8206020580055918E-3</v>
      </c>
      <c r="M14" s="1">
        <f>E14/$I14</f>
        <v>0.88989278632281699</v>
      </c>
      <c r="N14" s="1">
        <f>F14/$I14</f>
        <v>4.2588820344729855E-3</v>
      </c>
      <c r="O14" s="1">
        <f>B77/$I14</f>
        <v>3.7183561924822447E-4</v>
      </c>
      <c r="P14" s="1"/>
      <c r="Q14" s="1"/>
      <c r="R14" s="1"/>
      <c r="S14" s="1"/>
      <c r="T14" s="1"/>
      <c r="Z14" s="1"/>
      <c r="AA14" s="1"/>
      <c r="AB14" s="1"/>
      <c r="AC14" s="1"/>
      <c r="AD14" s="1"/>
    </row>
    <row r="15" spans="1:30" x14ac:dyDescent="0.2">
      <c r="A15">
        <v>8966</v>
      </c>
      <c r="B15" s="1">
        <v>3009860</v>
      </c>
      <c r="C15">
        <v>-1240.1099999999999</v>
      </c>
      <c r="D15">
        <v>120309</v>
      </c>
      <c r="E15" s="1">
        <v>25679700</v>
      </c>
      <c r="F15">
        <v>91869.5</v>
      </c>
      <c r="G15">
        <v>6053.37</v>
      </c>
      <c r="I15" s="1">
        <f>SUM(B15:G15)</f>
        <v>28906551.760000002</v>
      </c>
      <c r="J15" s="1">
        <f>B15/$I15</f>
        <v>0.10412379951056465</v>
      </c>
      <c r="K15" s="1">
        <f>C15/$I15</f>
        <v>-4.2900654851403829E-5</v>
      </c>
      <c r="L15" s="1">
        <f>D15/$I15</f>
        <v>4.1619976328854244E-3</v>
      </c>
      <c r="M15" s="1">
        <f>E15/$I15</f>
        <v>0.88836953688591735</v>
      </c>
      <c r="N15" s="1">
        <f>F15/$I15</f>
        <v>3.1781549305070068E-3</v>
      </c>
      <c r="O15" s="1">
        <f>B78/$I15</f>
        <v>2.2936634071915327E-3</v>
      </c>
      <c r="P15" s="1"/>
      <c r="Q15" s="1"/>
      <c r="R15" s="1"/>
      <c r="S15" s="1"/>
      <c r="T15" s="1"/>
      <c r="Z15" s="1"/>
      <c r="AA15" s="1"/>
      <c r="AB15" s="1"/>
      <c r="AC15" s="1"/>
      <c r="AD15" s="1"/>
    </row>
    <row r="16" spans="1:30" x14ac:dyDescent="0.2">
      <c r="A16">
        <v>9570</v>
      </c>
      <c r="B16" s="1">
        <v>3057910</v>
      </c>
      <c r="C16">
        <v>2747.27</v>
      </c>
      <c r="D16">
        <v>101458</v>
      </c>
      <c r="E16" s="1">
        <v>25847300</v>
      </c>
      <c r="F16">
        <v>124774</v>
      </c>
      <c r="G16">
        <v>8553.49</v>
      </c>
      <c r="I16" s="1">
        <f>SUM(B16:G16)</f>
        <v>29142742.759999998</v>
      </c>
      <c r="J16" s="1">
        <f>B16/$I16</f>
        <v>0.10492869614857075</v>
      </c>
      <c r="K16" s="1">
        <f>C16/$I16</f>
        <v>9.4269438625755496E-5</v>
      </c>
      <c r="L16" s="1">
        <f>D16/$I16</f>
        <v>3.4814156249993269E-3</v>
      </c>
      <c r="M16" s="1">
        <f>E16/$I16</f>
        <v>0.8869206379392961</v>
      </c>
      <c r="N16" s="1">
        <f>F16/$I16</f>
        <v>4.2814775886935085E-3</v>
      </c>
      <c r="O16" s="1">
        <f>B79/$I16</f>
        <v>2.2649892820177371E-3</v>
      </c>
      <c r="P16" s="1"/>
      <c r="Q16" s="1"/>
      <c r="R16" s="1"/>
      <c r="S16" s="1"/>
      <c r="T16" s="1"/>
      <c r="Z16" s="1"/>
      <c r="AA16" s="1"/>
      <c r="AB16" s="1"/>
      <c r="AC16" s="1"/>
      <c r="AD16" s="1"/>
    </row>
    <row r="17" spans="1:30" x14ac:dyDescent="0.2">
      <c r="A17">
        <v>10175</v>
      </c>
      <c r="B17" s="1">
        <v>3120240</v>
      </c>
      <c r="C17">
        <v>11999.7</v>
      </c>
      <c r="D17">
        <v>115968</v>
      </c>
      <c r="E17" s="1">
        <v>25643800</v>
      </c>
      <c r="F17">
        <v>97858.6</v>
      </c>
      <c r="G17">
        <v>5960.49</v>
      </c>
      <c r="I17" s="1">
        <f>SUM(B17:G17)</f>
        <v>28995826.789999999</v>
      </c>
      <c r="J17" s="1">
        <f>B17/$I17</f>
        <v>0.10760996824122634</v>
      </c>
      <c r="K17" s="1">
        <f>C17/$I17</f>
        <v>4.1384231209914746E-4</v>
      </c>
      <c r="L17" s="1">
        <f>D17/$I17</f>
        <v>3.9994720909284336E-3</v>
      </c>
      <c r="M17" s="1">
        <f>E17/$I17</f>
        <v>0.88439623348984697</v>
      </c>
      <c r="N17" s="1">
        <f>F17/$I17</f>
        <v>3.3749201465691336E-3</v>
      </c>
      <c r="O17" s="1">
        <f>B80/$I17</f>
        <v>1.9020461254452129E-3</v>
      </c>
      <c r="P17" s="1"/>
      <c r="Q17" s="1"/>
      <c r="R17" s="1"/>
      <c r="S17" s="1"/>
      <c r="T17" s="1"/>
      <c r="Z17" s="1"/>
      <c r="AA17" s="1"/>
      <c r="AB17" s="1"/>
      <c r="AC17" s="1"/>
      <c r="AD17" s="1"/>
    </row>
    <row r="18" spans="1:30" x14ac:dyDescent="0.2">
      <c r="A18">
        <v>10778</v>
      </c>
      <c r="B18" s="1">
        <v>3144610</v>
      </c>
      <c r="C18">
        <v>-242.45099999999999</v>
      </c>
      <c r="D18">
        <v>109817</v>
      </c>
      <c r="E18" s="1">
        <v>25621200</v>
      </c>
      <c r="F18">
        <v>111692</v>
      </c>
      <c r="G18">
        <v>17498.3</v>
      </c>
      <c r="I18" s="1">
        <f>SUM(B18:G18)</f>
        <v>29004574.848999999</v>
      </c>
      <c r="J18" s="1">
        <f>B18/$I18</f>
        <v>0.10841772432007972</v>
      </c>
      <c r="K18" s="1">
        <f>C18/$I18</f>
        <v>-8.3590606399927652E-6</v>
      </c>
      <c r="L18" s="1">
        <f>D18/$I18</f>
        <v>3.7861958181326762E-3</v>
      </c>
      <c r="M18" s="1">
        <f>E18/$I18</f>
        <v>0.88335030364643841</v>
      </c>
      <c r="N18" s="1">
        <f>F18/$I18</f>
        <v>3.8508407925810658E-3</v>
      </c>
      <c r="O18" s="1">
        <f>B81/$I18</f>
        <v>-6.2549442956670313E-5</v>
      </c>
      <c r="P18" s="1"/>
      <c r="Q18" s="1"/>
      <c r="R18" s="1"/>
      <c r="S18" s="1"/>
      <c r="T18" s="1"/>
      <c r="Z18" s="1"/>
      <c r="AA18" s="1"/>
      <c r="AB18" s="1"/>
      <c r="AC18" s="1"/>
      <c r="AD18" s="1"/>
    </row>
    <row r="19" spans="1:30" x14ac:dyDescent="0.2">
      <c r="A19">
        <v>11384</v>
      </c>
      <c r="B19" s="1">
        <v>3178430</v>
      </c>
      <c r="C19">
        <v>6542.64</v>
      </c>
      <c r="D19">
        <v>95918.5</v>
      </c>
      <c r="E19" s="1">
        <v>25451200</v>
      </c>
      <c r="F19">
        <v>101946</v>
      </c>
      <c r="G19">
        <v>22779</v>
      </c>
      <c r="I19" s="1">
        <f>SUM(B19:G19)</f>
        <v>28856816.140000001</v>
      </c>
      <c r="J19" s="1">
        <f>B19/$I19</f>
        <v>0.11014486090841483</v>
      </c>
      <c r="K19" s="1">
        <f>C19/$I19</f>
        <v>2.2672771549910842E-4</v>
      </c>
      <c r="L19" s="1">
        <f>D19/$I19</f>
        <v>3.3239460491638283E-3</v>
      </c>
      <c r="M19" s="1">
        <f>E19/$I19</f>
        <v>0.88198226292611359</v>
      </c>
      <c r="N19" s="1">
        <f>F19/$I19</f>
        <v>3.532822176410762E-3</v>
      </c>
      <c r="O19" s="1">
        <f>B82/$I19</f>
        <v>1.580430764736473E-3</v>
      </c>
      <c r="P19" s="1"/>
      <c r="Q19" s="1"/>
      <c r="R19" s="1"/>
      <c r="S19" s="1"/>
      <c r="T19" s="1"/>
      <c r="Z19" s="1"/>
      <c r="AA19" s="1"/>
      <c r="AB19" s="1"/>
      <c r="AC19" s="1"/>
      <c r="AD19" s="1"/>
    </row>
    <row r="20" spans="1:30" x14ac:dyDescent="0.2">
      <c r="A20">
        <v>11988</v>
      </c>
      <c r="B20" s="1">
        <v>3219330</v>
      </c>
      <c r="C20">
        <v>5852.92</v>
      </c>
      <c r="D20">
        <v>103241</v>
      </c>
      <c r="E20" s="1">
        <v>25385500</v>
      </c>
      <c r="F20">
        <v>91586.3</v>
      </c>
      <c r="G20">
        <v>8798.33</v>
      </c>
      <c r="I20" s="1">
        <f>SUM(B20:G20)</f>
        <v>28814308.550000001</v>
      </c>
      <c r="J20" s="1">
        <f>B20/$I20</f>
        <v>0.11172678304647363</v>
      </c>
      <c r="K20" s="1">
        <f>C20/$I20</f>
        <v>2.0312547114721585E-4</v>
      </c>
      <c r="L20" s="1">
        <f>D20/$I20</f>
        <v>3.5829768332233673E-3</v>
      </c>
      <c r="M20" s="1">
        <f>E20/$I20</f>
        <v>0.8810032680794625</v>
      </c>
      <c r="N20" s="1">
        <f>F20/$I20</f>
        <v>3.1785007036026899E-3</v>
      </c>
      <c r="O20" s="1">
        <f>B83/$I20</f>
        <v>6.4656071714065135E-4</v>
      </c>
      <c r="P20" s="1"/>
      <c r="Q20" s="1"/>
      <c r="R20" s="1"/>
      <c r="S20" s="1"/>
      <c r="T20" s="1"/>
      <c r="Z20" s="1"/>
      <c r="AA20" s="1"/>
      <c r="AB20" s="1"/>
      <c r="AC20" s="1"/>
      <c r="AD20" s="1"/>
    </row>
    <row r="21" spans="1:30" x14ac:dyDescent="0.2">
      <c r="A21">
        <v>12592</v>
      </c>
      <c r="B21" s="1">
        <v>3233620</v>
      </c>
      <c r="C21">
        <v>1710.41</v>
      </c>
      <c r="D21">
        <v>109235</v>
      </c>
      <c r="E21" s="1">
        <v>25600600</v>
      </c>
      <c r="F21">
        <v>133223</v>
      </c>
      <c r="G21">
        <v>9787.76</v>
      </c>
      <c r="I21" s="1">
        <f>SUM(B21:G21)</f>
        <v>29088176.170000002</v>
      </c>
      <c r="J21" s="1">
        <f>B21/$I21</f>
        <v>0.11116613090837175</v>
      </c>
      <c r="K21" s="1">
        <f>C21/$I21</f>
        <v>5.8800867747907342E-5</v>
      </c>
      <c r="L21" s="1">
        <f>D21/$I21</f>
        <v>3.7553059140455554E-3</v>
      </c>
      <c r="M21" s="1">
        <f>E21/$I21</f>
        <v>0.88010330556245386</v>
      </c>
      <c r="N21" s="1">
        <f>F21/$I21</f>
        <v>4.5799708865005813E-3</v>
      </c>
      <c r="O21" s="1">
        <f>B84/$I21</f>
        <v>1.9771607426977431E-3</v>
      </c>
      <c r="P21" s="1"/>
      <c r="Q21" s="1"/>
      <c r="R21" s="1"/>
      <c r="S21" s="1"/>
      <c r="T21" s="1"/>
      <c r="Z21" s="1"/>
      <c r="AA21" s="1"/>
      <c r="AB21" s="1"/>
      <c r="AC21" s="1"/>
      <c r="AD21" s="1"/>
    </row>
    <row r="22" spans="1:30" x14ac:dyDescent="0.2">
      <c r="A22">
        <v>13196</v>
      </c>
      <c r="B22" s="1">
        <v>3272810</v>
      </c>
      <c r="C22">
        <v>-496.53899999999999</v>
      </c>
      <c r="D22">
        <v>109642</v>
      </c>
      <c r="E22" s="1">
        <v>25335300</v>
      </c>
      <c r="F22">
        <v>99559.2</v>
      </c>
      <c r="G22">
        <v>9431.1299999999992</v>
      </c>
      <c r="I22" s="1">
        <f>SUM(B22:G22)</f>
        <v>28826245.790999997</v>
      </c>
      <c r="J22" s="1">
        <f>B22/$I22</f>
        <v>0.11353576958057515</v>
      </c>
      <c r="K22" s="1">
        <f>C22/$I22</f>
        <v>-1.7225239928920165E-5</v>
      </c>
      <c r="L22" s="1">
        <f>D22/$I22</f>
        <v>3.8035476695418985E-3</v>
      </c>
      <c r="M22" s="1">
        <f>E22/$I22</f>
        <v>0.87889696714894716</v>
      </c>
      <c r="N22" s="1">
        <f>F22/$I22</f>
        <v>3.4537692046976137E-3</v>
      </c>
      <c r="O22" s="1">
        <f>B85/$I22</f>
        <v>2.6188252381990527E-4</v>
      </c>
      <c r="P22" s="1"/>
      <c r="Q22" s="1"/>
      <c r="R22" s="1"/>
      <c r="S22" s="1"/>
      <c r="T22" s="1"/>
      <c r="Z22" s="1"/>
      <c r="AA22" s="1"/>
      <c r="AB22" s="1"/>
      <c r="AC22" s="1"/>
      <c r="AD22" s="1"/>
    </row>
    <row r="23" spans="1:30" x14ac:dyDescent="0.2">
      <c r="A23">
        <v>13800</v>
      </c>
      <c r="B23" s="1">
        <v>3272440</v>
      </c>
      <c r="C23">
        <v>-2569.9</v>
      </c>
      <c r="D23">
        <v>100142</v>
      </c>
      <c r="E23" s="1">
        <v>25307500</v>
      </c>
      <c r="F23">
        <v>103422</v>
      </c>
      <c r="G23">
        <v>18591.8</v>
      </c>
      <c r="I23" s="1">
        <f>SUM(B23:G23)</f>
        <v>28799525.900000002</v>
      </c>
      <c r="J23" s="1">
        <f>B23/$I23</f>
        <v>0.11362825941520099</v>
      </c>
      <c r="K23" s="1">
        <f>C23/$I23</f>
        <v>-8.923410784342113E-5</v>
      </c>
      <c r="L23" s="1">
        <f>D23/$I23</f>
        <v>3.4772100189329851E-3</v>
      </c>
      <c r="M23" s="1">
        <f>E23/$I23</f>
        <v>0.8787471046528581</v>
      </c>
      <c r="N23" s="1">
        <f>F23/$I23</f>
        <v>3.5911007826694812E-3</v>
      </c>
      <c r="O23" s="1">
        <f>B86/$I23</f>
        <v>1.9800673177053931E-3</v>
      </c>
      <c r="P23" s="1"/>
      <c r="Q23" s="1"/>
      <c r="R23" s="1"/>
      <c r="S23" s="1"/>
      <c r="T23" s="1"/>
      <c r="Z23" s="1"/>
      <c r="AA23" s="1"/>
      <c r="AB23" s="1"/>
      <c r="AC23" s="1"/>
      <c r="AD23" s="1"/>
    </row>
    <row r="24" spans="1:30" x14ac:dyDescent="0.2">
      <c r="A24">
        <v>14404</v>
      </c>
      <c r="B24" s="1">
        <v>3292590</v>
      </c>
      <c r="C24">
        <v>6901.6</v>
      </c>
      <c r="D24">
        <v>101549</v>
      </c>
      <c r="E24" s="1">
        <v>25263200</v>
      </c>
      <c r="F24">
        <v>91170.2</v>
      </c>
      <c r="G24">
        <v>4498.99</v>
      </c>
      <c r="I24" s="1">
        <f>SUM(B24:G24)</f>
        <v>28759909.789999999</v>
      </c>
      <c r="J24" s="1">
        <f>B24/$I24</f>
        <v>0.1144854077791598</v>
      </c>
      <c r="K24" s="1">
        <f>C24/$I24</f>
        <v>2.3997293629897721E-4</v>
      </c>
      <c r="L24" s="1">
        <f>D24/$I24</f>
        <v>3.5309220627426732E-3</v>
      </c>
      <c r="M24" s="1">
        <f>E24/$I24</f>
        <v>0.87841721981979837</v>
      </c>
      <c r="N24" s="1">
        <f>F24/$I24</f>
        <v>3.170044713829403E-3</v>
      </c>
      <c r="O24" s="1">
        <f>B87/$I24</f>
        <v>1.8038025980887473E-3</v>
      </c>
      <c r="P24" s="1"/>
      <c r="Q24" s="1"/>
      <c r="R24" s="1"/>
      <c r="S24" s="1"/>
      <c r="T24" s="1"/>
      <c r="Z24" s="1"/>
      <c r="AA24" s="1"/>
      <c r="AB24" s="1"/>
      <c r="AC24" s="1"/>
      <c r="AD24" s="1"/>
    </row>
    <row r="25" spans="1:30" x14ac:dyDescent="0.2">
      <c r="A25">
        <v>15008</v>
      </c>
      <c r="B25" s="1">
        <v>3299770</v>
      </c>
      <c r="C25">
        <v>6126.8</v>
      </c>
      <c r="D25">
        <v>94708.5</v>
      </c>
      <c r="E25" s="1">
        <v>25267500</v>
      </c>
      <c r="F25">
        <v>106457</v>
      </c>
      <c r="G25">
        <v>16201.1</v>
      </c>
      <c r="I25" s="1">
        <f>SUM(B25:G25)</f>
        <v>28790763.400000002</v>
      </c>
      <c r="J25" s="1">
        <f>B25/$I25</f>
        <v>0.11461210507533814</v>
      </c>
      <c r="K25" s="1">
        <f>C25/$I25</f>
        <v>2.12804360720772E-4</v>
      </c>
      <c r="L25" s="1">
        <f>D25/$I25</f>
        <v>3.2895445905404505E-3</v>
      </c>
      <c r="M25" s="1">
        <f>E25/$I25</f>
        <v>0.87762521781551639</v>
      </c>
      <c r="N25" s="1">
        <f>F25/$I25</f>
        <v>3.6976094909661199E-3</v>
      </c>
      <c r="O25" s="1">
        <f>B88/$I25</f>
        <v>2.3404311675875879E-3</v>
      </c>
      <c r="P25" s="1"/>
      <c r="Q25" s="1"/>
      <c r="R25" s="1"/>
      <c r="S25" s="1"/>
      <c r="T25" s="1"/>
      <c r="Z25" s="1"/>
      <c r="AA25" s="1"/>
      <c r="AB25" s="1"/>
      <c r="AC25" s="1"/>
      <c r="AD25" s="1"/>
    </row>
    <row r="26" spans="1:30" x14ac:dyDescent="0.2">
      <c r="A26">
        <v>15612</v>
      </c>
      <c r="B26" s="1">
        <v>3319800</v>
      </c>
      <c r="C26">
        <v>10298.1</v>
      </c>
      <c r="D26">
        <v>112999</v>
      </c>
      <c r="E26" s="1">
        <v>25401500</v>
      </c>
      <c r="F26">
        <v>118798</v>
      </c>
      <c r="G26">
        <v>11319.1</v>
      </c>
      <c r="I26" s="1">
        <f>SUM(B26:G26)</f>
        <v>28974714.200000003</v>
      </c>
      <c r="J26" s="1">
        <f>B26/$I26</f>
        <v>0.1145757634427331</v>
      </c>
      <c r="K26" s="1">
        <f>C26/$I26</f>
        <v>3.5541679303259527E-4</v>
      </c>
      <c r="L26" s="1">
        <f>D26/$I26</f>
        <v>3.8999176737349833E-3</v>
      </c>
      <c r="M26" s="1">
        <f>E26/$I26</f>
        <v>0.87667818997848812</v>
      </c>
      <c r="N26" s="1">
        <f>F26/$I26</f>
        <v>4.1000576978943932E-3</v>
      </c>
      <c r="O26" s="1">
        <f>B89/$I26</f>
        <v>2.4193232594508212E-3</v>
      </c>
      <c r="P26" s="1"/>
      <c r="Q26" s="1"/>
      <c r="R26" s="1"/>
      <c r="S26" s="1"/>
      <c r="T26" s="1"/>
      <c r="Z26" s="1"/>
      <c r="AA26" s="1"/>
      <c r="AB26" s="1"/>
      <c r="AC26" s="1"/>
      <c r="AD26" s="1"/>
    </row>
    <row r="27" spans="1:30" x14ac:dyDescent="0.2">
      <c r="A27">
        <v>16216</v>
      </c>
      <c r="B27" s="1">
        <v>3333820</v>
      </c>
      <c r="C27">
        <v>5101.0600000000004</v>
      </c>
      <c r="D27">
        <v>98892.9</v>
      </c>
      <c r="E27" s="1">
        <v>25299300</v>
      </c>
      <c r="F27">
        <v>105409</v>
      </c>
      <c r="G27">
        <v>6471.87</v>
      </c>
      <c r="I27" s="1">
        <f>SUM(B27:G27)</f>
        <v>28848994.830000002</v>
      </c>
      <c r="J27" s="1">
        <f>B27/$I27</f>
        <v>0.1155610453551459</v>
      </c>
      <c r="K27" s="1">
        <f>C27/$I27</f>
        <v>1.7681933218329743E-4</v>
      </c>
      <c r="L27" s="1">
        <f>D27/$I27</f>
        <v>3.4279495900204292E-3</v>
      </c>
      <c r="M27" s="1">
        <f>E27/$I27</f>
        <v>0.87695603084552942</v>
      </c>
      <c r="N27" s="1">
        <f>F27/$I27</f>
        <v>3.653818811405707E-3</v>
      </c>
      <c r="O27" s="1">
        <f>B90/$I27</f>
        <v>1.8424108123423306E-3</v>
      </c>
      <c r="P27" s="1"/>
      <c r="Q27" s="1"/>
      <c r="R27" s="1"/>
      <c r="S27" s="1"/>
      <c r="T27" s="1"/>
      <c r="Z27" s="1"/>
      <c r="AA27" s="1"/>
      <c r="AB27" s="1"/>
      <c r="AC27" s="1"/>
      <c r="AD27" s="1"/>
    </row>
    <row r="28" spans="1:30" x14ac:dyDescent="0.2">
      <c r="A28">
        <v>16820</v>
      </c>
      <c r="B28" s="1">
        <v>3318100</v>
      </c>
      <c r="C28">
        <v>23190.400000000001</v>
      </c>
      <c r="D28">
        <v>97864.4</v>
      </c>
      <c r="E28" s="1">
        <v>25199300</v>
      </c>
      <c r="F28">
        <v>105859</v>
      </c>
      <c r="G28">
        <v>16620.400000000001</v>
      </c>
      <c r="I28" s="1">
        <f>SUM(B28:G28)</f>
        <v>28760934.199999999</v>
      </c>
      <c r="J28" s="1">
        <f>B28/$I28</f>
        <v>0.11536829704231234</v>
      </c>
      <c r="K28" s="1">
        <f>C28/$I28</f>
        <v>8.06315950613315E-4</v>
      </c>
      <c r="L28" s="1">
        <f>D28/$I28</f>
        <v>3.4026850212674942E-3</v>
      </c>
      <c r="M28" s="1">
        <f>E28/$I28</f>
        <v>0.8761641685477658</v>
      </c>
      <c r="N28" s="1">
        <f>F28/$I28</f>
        <v>3.6806523482119718E-3</v>
      </c>
      <c r="O28" s="1">
        <f>B91/$I28</f>
        <v>1.4789366612437787E-4</v>
      </c>
      <c r="P28" s="1"/>
      <c r="Q28" s="1"/>
      <c r="R28" s="1"/>
      <c r="S28" s="1"/>
      <c r="T28" s="1"/>
      <c r="Z28" s="1"/>
      <c r="AA28" s="1"/>
      <c r="AB28" s="1"/>
      <c r="AC28" s="1"/>
      <c r="AD28" s="1"/>
    </row>
    <row r="29" spans="1:30" x14ac:dyDescent="0.2">
      <c r="A29">
        <v>17425</v>
      </c>
      <c r="B29" s="1">
        <v>3347330</v>
      </c>
      <c r="C29">
        <v>11587.8</v>
      </c>
      <c r="D29">
        <v>97828.800000000003</v>
      </c>
      <c r="E29" s="1">
        <v>25180800</v>
      </c>
      <c r="F29">
        <v>87489.9</v>
      </c>
      <c r="G29">
        <v>7900.41</v>
      </c>
      <c r="I29" s="1">
        <f>SUM(B29:G29)</f>
        <v>28732936.91</v>
      </c>
      <c r="J29" s="1">
        <f>B29/$I29</f>
        <v>0.11649801099291802</v>
      </c>
      <c r="K29" s="1">
        <f>C29/$I29</f>
        <v>4.0329326710654027E-4</v>
      </c>
      <c r="L29" s="1">
        <f>D29/$I29</f>
        <v>3.4047615914248011E-3</v>
      </c>
      <c r="M29" s="1">
        <f>E29/$I29</f>
        <v>0.87637403996930996</v>
      </c>
      <c r="N29" s="1">
        <f>F29/$I29</f>
        <v>3.0449341212158043E-3</v>
      </c>
      <c r="O29" s="1">
        <f>B92/$I29</f>
        <v>2.078892950870298E-3</v>
      </c>
      <c r="P29" s="1"/>
      <c r="Q29" s="1"/>
      <c r="R29" s="1"/>
      <c r="S29" s="1"/>
      <c r="T29" s="1"/>
      <c r="Z29" s="1"/>
      <c r="AA29" s="1"/>
      <c r="AB29" s="1"/>
      <c r="AC29" s="1"/>
      <c r="AD29" s="1"/>
    </row>
    <row r="30" spans="1:30" x14ac:dyDescent="0.2">
      <c r="A30">
        <v>18029</v>
      </c>
      <c r="B30" s="1">
        <v>3380400</v>
      </c>
      <c r="C30">
        <v>1394.37</v>
      </c>
      <c r="D30">
        <v>96474.3</v>
      </c>
      <c r="E30" s="1">
        <v>25169000</v>
      </c>
      <c r="F30">
        <v>84819.4</v>
      </c>
      <c r="G30">
        <v>1607.93</v>
      </c>
      <c r="I30" s="1">
        <f>SUM(B30:G30)</f>
        <v>28733696</v>
      </c>
      <c r="J30" s="1">
        <f>B30/$I30</f>
        <v>0.1176458468830463</v>
      </c>
      <c r="K30" s="1">
        <f>C30/$I30</f>
        <v>4.8527345733733659E-5</v>
      </c>
      <c r="L30" s="1">
        <f>D30/$I30</f>
        <v>3.3575318678112278E-3</v>
      </c>
      <c r="M30" s="1">
        <f>E30/$I30</f>
        <v>0.87594022015128159</v>
      </c>
      <c r="N30" s="1">
        <f>F30/$I30</f>
        <v>2.9519140176049747E-3</v>
      </c>
      <c r="O30" s="1">
        <f>B93/$I30</f>
        <v>1.4917990362256217E-3</v>
      </c>
      <c r="P30" s="1"/>
      <c r="Q30" s="1"/>
      <c r="R30" s="1"/>
      <c r="S30" s="1"/>
      <c r="T30" s="1"/>
      <c r="Z30" s="1"/>
      <c r="AA30" s="1"/>
      <c r="AB30" s="1"/>
      <c r="AC30" s="1"/>
      <c r="AD30" s="1"/>
    </row>
    <row r="31" spans="1:30" x14ac:dyDescent="0.2">
      <c r="A31">
        <v>18633</v>
      </c>
      <c r="B31" s="1">
        <v>3371800</v>
      </c>
      <c r="C31">
        <v>21191.3</v>
      </c>
      <c r="D31">
        <v>102502</v>
      </c>
      <c r="E31" s="1">
        <v>25177700</v>
      </c>
      <c r="F31">
        <v>108498</v>
      </c>
      <c r="G31">
        <v>5405.46</v>
      </c>
      <c r="I31" s="1">
        <f>SUM(B31:G31)</f>
        <v>28787096.760000002</v>
      </c>
      <c r="J31" s="1">
        <f>B31/$I31</f>
        <v>0.11712886603713211</v>
      </c>
      <c r="K31" s="1">
        <f>C31/$I31</f>
        <v>7.3613883944856687E-4</v>
      </c>
      <c r="L31" s="1">
        <f>D31/$I31</f>
        <v>3.5606925163230666E-3</v>
      </c>
      <c r="M31" s="1">
        <f>E31/$I31</f>
        <v>0.8746175486159028</v>
      </c>
      <c r="N31" s="1">
        <f>F31/$I31</f>
        <v>3.7689802797605909E-3</v>
      </c>
      <c r="O31" s="1">
        <f>B94/$I31</f>
        <v>1.9837255724706846E-3</v>
      </c>
      <c r="P31" s="1"/>
      <c r="Q31" s="1"/>
      <c r="R31" s="1"/>
      <c r="S31" s="1"/>
      <c r="T31" s="1"/>
      <c r="Z31" s="1"/>
      <c r="AA31" s="1"/>
      <c r="AB31" s="1"/>
      <c r="AC31" s="1"/>
      <c r="AD31" s="1"/>
    </row>
    <row r="32" spans="1:30" x14ac:dyDescent="0.2">
      <c r="A32">
        <v>19237</v>
      </c>
      <c r="B32" s="1">
        <v>3366600</v>
      </c>
      <c r="C32">
        <v>14536.2</v>
      </c>
      <c r="D32">
        <v>110812</v>
      </c>
      <c r="E32" s="1">
        <v>25166800</v>
      </c>
      <c r="F32">
        <v>93294.7</v>
      </c>
      <c r="G32">
        <v>2117.89</v>
      </c>
      <c r="I32" s="1">
        <f>SUM(B32:G32)</f>
        <v>28754160.789999999</v>
      </c>
      <c r="J32" s="1">
        <f>B32/$I32</f>
        <v>0.11708218593431605</v>
      </c>
      <c r="K32" s="1">
        <f>C32/$I32</f>
        <v>5.055337940885181E-4</v>
      </c>
      <c r="L32" s="1">
        <f>D32/$I32</f>
        <v>3.8537727047327957E-3</v>
      </c>
      <c r="M32" s="1">
        <f>E32/$I32</f>
        <v>0.87524028900723139</v>
      </c>
      <c r="N32" s="1">
        <f>F32/$I32</f>
        <v>3.2445634800945273E-3</v>
      </c>
      <c r="O32" s="1">
        <f>B95/$I32</f>
        <v>1.5787036989716994E-3</v>
      </c>
      <c r="P32" s="1"/>
      <c r="Q32" s="1"/>
      <c r="R32" s="1"/>
      <c r="S32" s="1"/>
      <c r="T32" s="1"/>
      <c r="Z32" s="1"/>
      <c r="AA32" s="1"/>
      <c r="AB32" s="1"/>
      <c r="AC32" s="1"/>
      <c r="AD32" s="1"/>
    </row>
    <row r="33" spans="1:30" x14ac:dyDescent="0.2">
      <c r="A33">
        <v>19841</v>
      </c>
      <c r="B33" s="1">
        <v>3369430</v>
      </c>
      <c r="C33">
        <v>-3736.85</v>
      </c>
      <c r="D33">
        <v>107892</v>
      </c>
      <c r="E33" s="1">
        <v>25216400</v>
      </c>
      <c r="F33">
        <v>95690.3</v>
      </c>
      <c r="G33">
        <v>17960.099999999999</v>
      </c>
      <c r="I33" s="1">
        <f>SUM(B33:G33)</f>
        <v>28803635.550000001</v>
      </c>
      <c r="J33" s="1">
        <f>B33/$I33</f>
        <v>0.11697933040956005</v>
      </c>
      <c r="K33" s="1">
        <f>C33/$I33</f>
        <v>-1.2973535904914615E-4</v>
      </c>
      <c r="L33" s="1">
        <f>D33/$I33</f>
        <v>3.7457771541620551E-3</v>
      </c>
      <c r="M33" s="1">
        <f>E33/$I33</f>
        <v>0.87545893143339681</v>
      </c>
      <c r="N33" s="1">
        <f>F33/$I33</f>
        <v>3.3221604902579738E-3</v>
      </c>
      <c r="O33" s="1">
        <f>B96/$I33</f>
        <v>2.2806634907585476E-3</v>
      </c>
      <c r="P33" s="1"/>
      <c r="Q33" s="1"/>
      <c r="R33" s="1"/>
      <c r="S33" s="1"/>
      <c r="T33" s="1"/>
      <c r="Z33" s="1"/>
      <c r="AA33" s="1"/>
      <c r="AB33" s="1"/>
      <c r="AC33" s="1"/>
      <c r="AD33" s="1"/>
    </row>
    <row r="34" spans="1:30" x14ac:dyDescent="0.2">
      <c r="A34">
        <v>20445</v>
      </c>
      <c r="B34" s="1">
        <v>3424920</v>
      </c>
      <c r="C34">
        <v>-550.63300000000004</v>
      </c>
      <c r="D34">
        <v>109673</v>
      </c>
      <c r="E34" s="1">
        <v>25173900</v>
      </c>
      <c r="F34">
        <v>97956</v>
      </c>
      <c r="G34">
        <v>8838.94</v>
      </c>
      <c r="I34" s="1">
        <f>SUM(B34:G34)</f>
        <v>28814737.307</v>
      </c>
      <c r="J34" s="1">
        <f>B34/$I34</f>
        <v>0.11886001123348711</v>
      </c>
      <c r="K34" s="1">
        <f>C34/$I34</f>
        <v>-1.9109422866965859E-5</v>
      </c>
      <c r="L34" s="1">
        <f>D34/$I34</f>
        <v>3.8061426287359212E-3</v>
      </c>
      <c r="M34" s="1">
        <f>E34/$I34</f>
        <v>0.87364669446021548</v>
      </c>
      <c r="N34" s="1">
        <f>F34/$I34</f>
        <v>3.399510429553818E-3</v>
      </c>
      <c r="O34" s="1">
        <f>B97/$I34</f>
        <v>2.0163952695791275E-3</v>
      </c>
      <c r="P34" s="1"/>
      <c r="Q34" s="1"/>
      <c r="R34" s="1"/>
      <c r="S34" s="1"/>
      <c r="T34" s="1"/>
      <c r="Z34" s="1"/>
      <c r="AA34" s="1"/>
      <c r="AB34" s="1"/>
      <c r="AC34" s="1"/>
      <c r="AD34" s="1"/>
    </row>
    <row r="35" spans="1:30" x14ac:dyDescent="0.2">
      <c r="A35">
        <v>21050</v>
      </c>
      <c r="B35" s="1">
        <v>3385330</v>
      </c>
      <c r="C35">
        <v>2187.9899999999998</v>
      </c>
      <c r="D35">
        <v>115855</v>
      </c>
      <c r="E35" s="1">
        <v>25105700</v>
      </c>
      <c r="F35">
        <v>102292</v>
      </c>
      <c r="G35">
        <v>25771.599999999999</v>
      </c>
      <c r="I35" s="1">
        <f>SUM(B35:G35)</f>
        <v>28737136.590000004</v>
      </c>
      <c r="J35" s="1">
        <f>B35/$I35</f>
        <v>0.11780331660385512</v>
      </c>
      <c r="K35" s="1">
        <f>C35/$I35</f>
        <v>7.6138065918557107E-5</v>
      </c>
      <c r="L35" s="1">
        <f>D35/$I35</f>
        <v>4.0315429352942361E-3</v>
      </c>
      <c r="M35" s="1">
        <f>E35/$I35</f>
        <v>0.87363262242127226</v>
      </c>
      <c r="N35" s="1">
        <f>F35/$I35</f>
        <v>3.5595752443754519E-3</v>
      </c>
      <c r="O35" s="1">
        <f>B98/$I35</f>
        <v>2.8434461361204113E-3</v>
      </c>
      <c r="P35" s="1"/>
      <c r="Q35" s="1"/>
      <c r="R35" s="1"/>
      <c r="S35" s="1"/>
      <c r="T35" s="1"/>
      <c r="Z35" s="1"/>
      <c r="AA35" s="1"/>
      <c r="AB35" s="1"/>
      <c r="AC35" s="1"/>
      <c r="AD35" s="1"/>
    </row>
    <row r="36" spans="1:30" x14ac:dyDescent="0.2">
      <c r="A36">
        <v>21654</v>
      </c>
      <c r="B36" s="1">
        <v>3401270</v>
      </c>
      <c r="C36">
        <v>3552.65</v>
      </c>
      <c r="D36">
        <v>116327</v>
      </c>
      <c r="E36" s="1">
        <v>25129600</v>
      </c>
      <c r="F36">
        <v>95612.6</v>
      </c>
      <c r="G36">
        <v>13467.5</v>
      </c>
      <c r="I36" s="1">
        <f>SUM(B36:G36)</f>
        <v>28759829.75</v>
      </c>
      <c r="J36" s="1">
        <f>B36/$I36</f>
        <v>0.11826460829449104</v>
      </c>
      <c r="K36" s="1">
        <f>C36/$I36</f>
        <v>1.2352819995396531E-4</v>
      </c>
      <c r="L36" s="1">
        <f>D36/$I36</f>
        <v>4.044773596060665E-3</v>
      </c>
      <c r="M36" s="1">
        <f>E36/$I36</f>
        <v>0.87377429624735525</v>
      </c>
      <c r="N36" s="1">
        <f>F36/$I36</f>
        <v>3.3245189846786215E-3</v>
      </c>
      <c r="O36" s="1">
        <f>B99/$I36</f>
        <v>1.9520073827975284E-4</v>
      </c>
      <c r="P36" s="1"/>
      <c r="Q36" s="1"/>
      <c r="R36" s="1"/>
      <c r="S36" s="1"/>
      <c r="T36" s="1"/>
      <c r="Z36" s="1"/>
      <c r="AA36" s="1"/>
      <c r="AB36" s="1"/>
      <c r="AC36" s="1"/>
      <c r="AD36" s="1"/>
    </row>
    <row r="37" spans="1:30" x14ac:dyDescent="0.2">
      <c r="A37">
        <v>22258</v>
      </c>
      <c r="B37" s="1">
        <v>3381010</v>
      </c>
      <c r="C37">
        <v>3208.16</v>
      </c>
      <c r="D37">
        <v>106647</v>
      </c>
      <c r="E37" s="1">
        <v>25198000</v>
      </c>
      <c r="F37">
        <v>116389</v>
      </c>
      <c r="G37">
        <v>10217.4</v>
      </c>
      <c r="I37" s="1">
        <f>SUM(B37:G37)</f>
        <v>28815471.559999999</v>
      </c>
      <c r="J37" s="1">
        <f>B37/$I37</f>
        <v>0.11733314837343582</v>
      </c>
      <c r="K37" s="1">
        <f>C37/$I37</f>
        <v>1.1133463470552345E-4</v>
      </c>
      <c r="L37" s="1">
        <f>D37/$I37</f>
        <v>3.7010326129120617E-3</v>
      </c>
      <c r="M37" s="1">
        <f>E37/$I37</f>
        <v>0.87446078914698144</v>
      </c>
      <c r="N37" s="1">
        <f>F37/$I37</f>
        <v>4.0391148816583868E-3</v>
      </c>
      <c r="O37" s="1">
        <f>B100/$I37</f>
        <v>3.6157312151930651E-4</v>
      </c>
      <c r="P37" s="1"/>
      <c r="Q37" s="1"/>
      <c r="R37" s="1"/>
      <c r="S37" s="1"/>
      <c r="T37" s="1"/>
      <c r="Z37" s="1"/>
      <c r="AA37" s="1"/>
      <c r="AB37" s="1"/>
      <c r="AC37" s="1"/>
      <c r="AD37" s="1"/>
    </row>
    <row r="38" spans="1:30" x14ac:dyDescent="0.2">
      <c r="A38">
        <v>22863</v>
      </c>
      <c r="B38" s="1">
        <v>3394070</v>
      </c>
      <c r="C38">
        <v>-1287.4100000000001</v>
      </c>
      <c r="D38">
        <v>118523</v>
      </c>
      <c r="E38" s="1">
        <v>25289500</v>
      </c>
      <c r="F38">
        <v>113156</v>
      </c>
      <c r="G38">
        <v>13263.7</v>
      </c>
      <c r="I38" s="1">
        <f>SUM(B38:G38)</f>
        <v>28927225.289999999</v>
      </c>
      <c r="J38" s="1">
        <f>B38/$I38</f>
        <v>0.11733133634401201</v>
      </c>
      <c r="K38" s="1">
        <f>C38/$I38</f>
        <v>-4.4505132693976407E-5</v>
      </c>
      <c r="L38" s="1">
        <f>D38/$I38</f>
        <v>4.0972820176075724E-3</v>
      </c>
      <c r="M38" s="1">
        <f>E38/$I38</f>
        <v>0.87424561970492398</v>
      </c>
      <c r="N38" s="1">
        <f>F38/$I38</f>
        <v>3.9117474581676342E-3</v>
      </c>
      <c r="O38" s="1">
        <f>B101/$I38</f>
        <v>6.9846311899761197E-4</v>
      </c>
      <c r="P38" s="1"/>
      <c r="Q38" s="1"/>
      <c r="R38" s="1"/>
      <c r="S38" s="1"/>
      <c r="T38" s="1"/>
      <c r="Z38" s="1"/>
      <c r="AA38" s="1"/>
      <c r="AB38" s="1"/>
      <c r="AC38" s="1"/>
      <c r="AD38" s="1"/>
    </row>
    <row r="39" spans="1:30" x14ac:dyDescent="0.2">
      <c r="A39">
        <v>23467</v>
      </c>
      <c r="B39" s="1">
        <v>3419350</v>
      </c>
      <c r="C39">
        <v>-1429.33</v>
      </c>
      <c r="D39">
        <v>97223.6</v>
      </c>
      <c r="E39" s="1">
        <v>25120500</v>
      </c>
      <c r="F39">
        <v>100251</v>
      </c>
      <c r="G39">
        <v>8661.2199999999993</v>
      </c>
      <c r="I39" s="1">
        <f>SUM(B39:G39)</f>
        <v>28744556.489999998</v>
      </c>
      <c r="J39" s="1">
        <f>B39/$I39</f>
        <v>0.11895643619304283</v>
      </c>
      <c r="K39" s="1">
        <f>C39/$I39</f>
        <v>-4.9725241038151084E-5</v>
      </c>
      <c r="L39" s="1">
        <f>D39/$I39</f>
        <v>3.3823308435398307E-3</v>
      </c>
      <c r="M39" s="1">
        <f>E39/$I39</f>
        <v>0.87392198967269585</v>
      </c>
      <c r="N39" s="1">
        <f>F39/$I39</f>
        <v>3.4876516544924433E-3</v>
      </c>
      <c r="O39" s="1">
        <f>B102/$I39</f>
        <v>2.4354663473188276E-3</v>
      </c>
      <c r="P39" s="1"/>
      <c r="Q39" s="1"/>
      <c r="R39" s="1"/>
      <c r="S39" s="1"/>
      <c r="T39" s="1"/>
      <c r="Z39" s="1"/>
      <c r="AA39" s="1"/>
      <c r="AB39" s="1"/>
      <c r="AC39" s="1"/>
      <c r="AD39" s="1"/>
    </row>
    <row r="40" spans="1:30" x14ac:dyDescent="0.2">
      <c r="A40">
        <v>24071</v>
      </c>
      <c r="B40" s="1">
        <v>3394120</v>
      </c>
      <c r="C40">
        <v>-74.233400000000003</v>
      </c>
      <c r="D40">
        <v>109427</v>
      </c>
      <c r="E40" s="1">
        <v>25134000</v>
      </c>
      <c r="F40">
        <v>89125.5</v>
      </c>
      <c r="G40">
        <v>2868.76</v>
      </c>
      <c r="I40" s="1">
        <f>SUM(B40:G40)</f>
        <v>28729467.026600003</v>
      </c>
      <c r="J40" s="1">
        <f>B40/$I40</f>
        <v>0.11814072279368971</v>
      </c>
      <c r="K40" s="1">
        <f>C40/$I40</f>
        <v>-2.5838766842165529E-6</v>
      </c>
      <c r="L40" s="1">
        <f>D40/$I40</f>
        <v>3.8088767848941949E-3</v>
      </c>
      <c r="M40" s="1">
        <f>E40/$I40</f>
        <v>0.87485089705036867</v>
      </c>
      <c r="N40" s="1">
        <f>F40/$I40</f>
        <v>3.1022329762498062E-3</v>
      </c>
      <c r="O40" s="1">
        <f>B103/$I40</f>
        <v>2.2516011153324703E-3</v>
      </c>
      <c r="P40" s="1"/>
      <c r="Q40" s="1"/>
      <c r="R40" s="1"/>
      <c r="S40" s="1"/>
      <c r="T40" s="1"/>
      <c r="Z40" s="1"/>
      <c r="AA40" s="1"/>
      <c r="AB40" s="1"/>
      <c r="AC40" s="1"/>
      <c r="AD40" s="1"/>
    </row>
    <row r="41" spans="1:30" x14ac:dyDescent="0.2">
      <c r="A41">
        <v>24676</v>
      </c>
      <c r="B41" s="1">
        <v>3387200</v>
      </c>
      <c r="C41">
        <v>2032.59</v>
      </c>
      <c r="D41">
        <v>101044</v>
      </c>
      <c r="E41" s="1">
        <v>25137300</v>
      </c>
      <c r="F41">
        <v>92609.3</v>
      </c>
      <c r="G41">
        <v>17779.3</v>
      </c>
      <c r="I41" s="1">
        <f>SUM(B41:G41)</f>
        <v>28737965.190000001</v>
      </c>
      <c r="J41" s="1">
        <f>B41/$I41</f>
        <v>0.11786499070500127</v>
      </c>
      <c r="K41" s="1">
        <f>C41/$I41</f>
        <v>7.0728389660214486E-5</v>
      </c>
      <c r="L41" s="1">
        <f>D41/$I41</f>
        <v>3.5160457371268741E-3</v>
      </c>
      <c r="M41" s="1">
        <f>E41/$I41</f>
        <v>0.87470702375083498</v>
      </c>
      <c r="N41" s="1">
        <f>F41/$I41</f>
        <v>3.2225420062873978E-3</v>
      </c>
      <c r="O41" s="1">
        <f>B104/$I41</f>
        <v>2.2858472952308564E-3</v>
      </c>
      <c r="P41" s="1"/>
      <c r="Q41" s="1"/>
      <c r="R41" s="1"/>
      <c r="S41" s="1"/>
      <c r="T41" s="1"/>
      <c r="Z41" s="1"/>
      <c r="AA41" s="1"/>
      <c r="AB41" s="1"/>
      <c r="AC41" s="1"/>
      <c r="AD41" s="1"/>
    </row>
    <row r="42" spans="1:30" x14ac:dyDescent="0.2">
      <c r="A42">
        <v>25280</v>
      </c>
      <c r="B42" s="1">
        <v>3408490</v>
      </c>
      <c r="C42">
        <v>3754.45</v>
      </c>
      <c r="D42">
        <v>114584</v>
      </c>
      <c r="E42" s="1">
        <v>25130300</v>
      </c>
      <c r="F42">
        <v>108083</v>
      </c>
      <c r="G42">
        <v>22069.8</v>
      </c>
      <c r="I42" s="1">
        <f>SUM(B42:G42)</f>
        <v>28787281.25</v>
      </c>
      <c r="J42" s="1">
        <f>B42/$I42</f>
        <v>0.11840263658104219</v>
      </c>
      <c r="K42" s="1">
        <f>C42/$I42</f>
        <v>1.3042044392434592E-4</v>
      </c>
      <c r="L42" s="1">
        <f>D42/$I42</f>
        <v>3.9803689346315048E-3</v>
      </c>
      <c r="M42" s="1">
        <f>E42/$I42</f>
        <v>0.87296538293278392</v>
      </c>
      <c r="N42" s="1">
        <f>F42/$I42</f>
        <v>3.7545400366698401E-3</v>
      </c>
      <c r="O42" s="1">
        <f>B105/$I42</f>
        <v>6.019602841098445E-4</v>
      </c>
      <c r="P42" s="1"/>
      <c r="Q42" s="1"/>
      <c r="R42" s="1"/>
      <c r="S42" s="1"/>
      <c r="T42" s="1"/>
      <c r="Z42" s="1"/>
      <c r="AA42" s="1"/>
      <c r="AB42" s="1"/>
      <c r="AC42" s="1"/>
      <c r="AD42" s="1"/>
    </row>
    <row r="43" spans="1:30" x14ac:dyDescent="0.2">
      <c r="A43">
        <v>25885</v>
      </c>
      <c r="B43" s="1">
        <v>3393970</v>
      </c>
      <c r="C43">
        <v>-2959.82</v>
      </c>
      <c r="D43">
        <v>105017</v>
      </c>
      <c r="E43" s="1">
        <v>25102900</v>
      </c>
      <c r="F43">
        <v>99999.1</v>
      </c>
      <c r="G43">
        <v>10816.3</v>
      </c>
      <c r="I43" s="1">
        <f>SUM(B43:G43)</f>
        <v>28709742.580000002</v>
      </c>
      <c r="J43" s="1">
        <f>B43/$I43</f>
        <v>0.11821666427494662</v>
      </c>
      <c r="K43" s="1">
        <f>C43/$I43</f>
        <v>-1.0309461994486472E-4</v>
      </c>
      <c r="L43" s="1">
        <f>D43/$I43</f>
        <v>3.6578872035292207E-3</v>
      </c>
      <c r="M43" s="1">
        <f>E43/$I43</f>
        <v>0.87436868965475756</v>
      </c>
      <c r="N43" s="1">
        <f>F43/$I43</f>
        <v>3.4831068137010095E-3</v>
      </c>
      <c r="O43" s="1">
        <f>B106/$I43</f>
        <v>6.1925320125945892E-4</v>
      </c>
      <c r="P43" s="1"/>
      <c r="Q43" s="1"/>
      <c r="R43" s="1"/>
      <c r="S43" s="1"/>
      <c r="T43" s="1"/>
      <c r="Z43" s="1"/>
      <c r="AA43" s="1"/>
      <c r="AB43" s="1"/>
      <c r="AC43" s="1"/>
      <c r="AD43" s="1"/>
    </row>
    <row r="44" spans="1:30" x14ac:dyDescent="0.2">
      <c r="A44">
        <v>26489</v>
      </c>
      <c r="B44" s="1">
        <v>3369580</v>
      </c>
      <c r="C44">
        <v>23245.4</v>
      </c>
      <c r="D44">
        <v>108141</v>
      </c>
      <c r="E44" s="1">
        <v>25105600</v>
      </c>
      <c r="F44">
        <v>108607</v>
      </c>
      <c r="G44">
        <v>11114.8</v>
      </c>
      <c r="I44" s="1">
        <f>SUM(B44:G44)</f>
        <v>28726288.199999999</v>
      </c>
      <c r="J44" s="1">
        <f>B44/$I44</f>
        <v>0.11729952636205886</v>
      </c>
      <c r="K44" s="1">
        <f>C44/$I44</f>
        <v>8.0920304907335723E-4</v>
      </c>
      <c r="L44" s="1">
        <f>D44/$I44</f>
        <v>3.7645309149269067E-3</v>
      </c>
      <c r="M44" s="1">
        <f>E44/$I44</f>
        <v>0.87395906582876937</v>
      </c>
      <c r="N44" s="1">
        <f>F44/$I44</f>
        <v>3.7807529898693979E-3</v>
      </c>
      <c r="O44" s="1">
        <f>B107/$I44</f>
        <v>1.9655724264438729E-3</v>
      </c>
      <c r="P44" s="1"/>
      <c r="Q44" s="1"/>
      <c r="R44" s="1"/>
      <c r="S44" s="1"/>
      <c r="T44" s="1"/>
      <c r="Z44" s="1"/>
      <c r="AA44" s="1"/>
      <c r="AB44" s="1"/>
      <c r="AC44" s="1"/>
      <c r="AD44" s="1"/>
    </row>
    <row r="45" spans="1:30" x14ac:dyDescent="0.2">
      <c r="A45">
        <v>27093</v>
      </c>
      <c r="B45" s="1">
        <v>3378960</v>
      </c>
      <c r="C45">
        <v>14782</v>
      </c>
      <c r="D45">
        <v>102085</v>
      </c>
      <c r="E45" s="1">
        <v>25093600</v>
      </c>
      <c r="F45">
        <v>90083.7</v>
      </c>
      <c r="G45">
        <v>17905.900000000001</v>
      </c>
      <c r="I45" s="1">
        <f>SUM(B45:G45)</f>
        <v>28697416.599999998</v>
      </c>
      <c r="J45" s="1">
        <f>B45/$I45</f>
        <v>0.11774439654613371</v>
      </c>
      <c r="K45" s="1">
        <f>C45/$I45</f>
        <v>5.1509863086421522E-4</v>
      </c>
      <c r="L45" s="1">
        <f>D45/$I45</f>
        <v>3.5572888466901234E-3</v>
      </c>
      <c r="M45" s="1">
        <f>E45/$I45</f>
        <v>0.87442017341728251</v>
      </c>
      <c r="N45" s="1">
        <f>F45/$I45</f>
        <v>3.1390874396686982E-3</v>
      </c>
      <c r="O45" s="1">
        <f>B108/$I45</f>
        <v>1.9547299599086561E-3</v>
      </c>
      <c r="P45" s="1"/>
      <c r="Q45" s="1"/>
      <c r="R45" s="1"/>
      <c r="S45" s="1"/>
      <c r="T45" s="1"/>
      <c r="Z45" s="1"/>
      <c r="AA45" s="1"/>
      <c r="AB45" s="1"/>
      <c r="AC45" s="1"/>
      <c r="AD45" s="1"/>
    </row>
    <row r="46" spans="1:30" x14ac:dyDescent="0.2">
      <c r="A46">
        <v>27697</v>
      </c>
      <c r="B46" s="1">
        <v>3413830</v>
      </c>
      <c r="C46">
        <v>7063.34</v>
      </c>
      <c r="D46">
        <v>105223</v>
      </c>
      <c r="E46" s="1">
        <v>25175600</v>
      </c>
      <c r="F46">
        <v>101118</v>
      </c>
      <c r="G46">
        <v>16744.900000000001</v>
      </c>
      <c r="I46" s="1">
        <f>SUM(B46:G46)</f>
        <v>28819579.239999998</v>
      </c>
      <c r="J46" s="1">
        <f>B46/$I46</f>
        <v>0.11845523390784939</v>
      </c>
      <c r="K46" s="1">
        <f>C46/$I46</f>
        <v>2.4508824161445324E-4</v>
      </c>
      <c r="L46" s="1">
        <f>D46/$I46</f>
        <v>3.6510942482448263E-3</v>
      </c>
      <c r="M46" s="1">
        <f>E46/$I46</f>
        <v>0.87355890210422105</v>
      </c>
      <c r="N46" s="1">
        <f>F46/$I46</f>
        <v>3.5086563602446269E-3</v>
      </c>
      <c r="O46" s="1">
        <f>B109/$I46</f>
        <v>8.5963781059004811E-4</v>
      </c>
      <c r="P46" s="1"/>
      <c r="Q46" s="1"/>
      <c r="R46" s="1"/>
      <c r="S46" s="1"/>
      <c r="T46" s="1"/>
      <c r="Z46" s="1"/>
      <c r="AA46" s="1"/>
      <c r="AB46" s="1"/>
      <c r="AC46" s="1"/>
      <c r="AD46" s="1"/>
    </row>
    <row r="47" spans="1:30" x14ac:dyDescent="0.2">
      <c r="A47">
        <v>28301</v>
      </c>
      <c r="B47" s="1">
        <v>3389590</v>
      </c>
      <c r="C47">
        <v>8711.6200000000008</v>
      </c>
      <c r="D47">
        <v>107355</v>
      </c>
      <c r="E47" s="1">
        <v>25132700</v>
      </c>
      <c r="F47">
        <v>87105.5</v>
      </c>
      <c r="G47">
        <v>14141.6</v>
      </c>
      <c r="I47" s="1">
        <f>SUM(B47:G47)</f>
        <v>28739603.720000003</v>
      </c>
      <c r="J47" s="1">
        <f>B47/$I47</f>
        <v>0.11794143137892925</v>
      </c>
      <c r="K47" s="1">
        <f>C47/$I47</f>
        <v>3.0312248160671579E-4</v>
      </c>
      <c r="L47" s="1">
        <f>D47/$I47</f>
        <v>3.7354377271838039E-3</v>
      </c>
      <c r="M47" s="1">
        <f>E47/$I47</f>
        <v>0.87449709623205607</v>
      </c>
      <c r="N47" s="1">
        <f>F47/$I47</f>
        <v>3.0308525075237185E-3</v>
      </c>
      <c r="O47" s="1">
        <f>B110/$I47</f>
        <v>2.4040171420985756E-3</v>
      </c>
      <c r="P47" s="1"/>
      <c r="Q47" s="1"/>
      <c r="R47" s="1"/>
      <c r="S47" s="1"/>
      <c r="T47" s="1"/>
      <c r="Z47" s="1"/>
      <c r="AA47" s="1"/>
      <c r="AB47" s="1"/>
      <c r="AC47" s="1"/>
      <c r="AD47" s="1"/>
    </row>
    <row r="48" spans="1:30" x14ac:dyDescent="0.2">
      <c r="A48">
        <v>28905</v>
      </c>
      <c r="B48" s="1">
        <v>3395920</v>
      </c>
      <c r="C48">
        <v>209.81100000000001</v>
      </c>
      <c r="D48">
        <v>121889</v>
      </c>
      <c r="E48" s="1">
        <v>25252300</v>
      </c>
      <c r="F48">
        <v>109848</v>
      </c>
      <c r="G48">
        <v>19542.3</v>
      </c>
      <c r="I48" s="1">
        <f>SUM(B48:G48)</f>
        <v>28899709.111000001</v>
      </c>
      <c r="J48" s="1">
        <f>B48/$I48</f>
        <v>0.11750706510424433</v>
      </c>
      <c r="K48" s="1">
        <f>C48/$I48</f>
        <v>7.2599692680000134E-6</v>
      </c>
      <c r="L48" s="1">
        <f>D48/$I48</f>
        <v>4.2176549089764292E-3</v>
      </c>
      <c r="M48" s="1">
        <f>E48/$I48</f>
        <v>0.87379080194230396</v>
      </c>
      <c r="N48" s="1">
        <f>F48/$I48</f>
        <v>3.8010071166491056E-3</v>
      </c>
      <c r="O48" s="1">
        <f>B111/$I48</f>
        <v>2.3420304938030555E-3</v>
      </c>
      <c r="P48" s="1"/>
      <c r="Q48" s="1"/>
      <c r="R48" s="1"/>
      <c r="S48" s="1"/>
      <c r="T48" s="1"/>
      <c r="Z48" s="1"/>
      <c r="AA48" s="1"/>
      <c r="AB48" s="1"/>
      <c r="AC48" s="1"/>
      <c r="AD48" s="1"/>
    </row>
    <row r="49" spans="1:30" x14ac:dyDescent="0.2">
      <c r="A49">
        <v>29509</v>
      </c>
      <c r="B49" s="1">
        <v>3413020</v>
      </c>
      <c r="C49">
        <v>-2386.4499999999998</v>
      </c>
      <c r="D49">
        <v>115427</v>
      </c>
      <c r="E49" s="1">
        <v>25066600</v>
      </c>
      <c r="F49">
        <v>91858.8</v>
      </c>
      <c r="G49">
        <v>10010.5</v>
      </c>
      <c r="I49" s="1">
        <f>SUM(B49:G49)</f>
        <v>28694529.850000001</v>
      </c>
      <c r="J49" s="1">
        <f>B49/$I49</f>
        <v>0.1189432277803987</v>
      </c>
      <c r="K49" s="1">
        <f>C49/$I49</f>
        <v>-8.3167419451550965E-5</v>
      </c>
      <c r="L49" s="1">
        <f>D49/$I49</f>
        <v>4.0226133901963895E-3</v>
      </c>
      <c r="M49" s="1">
        <f>E49/$I49</f>
        <v>0.87356719664113958</v>
      </c>
      <c r="N49" s="1">
        <f>F49/$I49</f>
        <v>3.2012652056050326E-3</v>
      </c>
      <c r="O49" s="1">
        <f>B112/$I49</f>
        <v>2.5013513159198877E-3</v>
      </c>
      <c r="P49" s="1"/>
      <c r="Q49" s="1"/>
      <c r="R49" s="1"/>
      <c r="S49" s="1"/>
      <c r="T49" s="1"/>
      <c r="Z49" s="1"/>
      <c r="AA49" s="1"/>
      <c r="AB49" s="1"/>
      <c r="AC49" s="1"/>
      <c r="AD49" s="1"/>
    </row>
    <row r="50" spans="1:30" x14ac:dyDescent="0.2">
      <c r="A50">
        <v>30113</v>
      </c>
      <c r="B50" s="1">
        <v>3413830</v>
      </c>
      <c r="C50">
        <v>-881.274</v>
      </c>
      <c r="D50">
        <v>97359</v>
      </c>
      <c r="E50" s="1">
        <v>25093000</v>
      </c>
      <c r="F50">
        <v>95381.6</v>
      </c>
      <c r="G50">
        <v>11924.6</v>
      </c>
      <c r="I50" s="1">
        <f>SUM(B50:G50)</f>
        <v>28710613.926000003</v>
      </c>
      <c r="J50" s="1">
        <f>B50/$I50</f>
        <v>0.11890480673102133</v>
      </c>
      <c r="K50" s="1">
        <f>C50/$I50</f>
        <v>-3.0695059404561474E-5</v>
      </c>
      <c r="L50" s="1">
        <f>D50/$I50</f>
        <v>3.3910455642271308E-3</v>
      </c>
      <c r="M50" s="1">
        <f>E50/$I50</f>
        <v>0.87399733299593663</v>
      </c>
      <c r="N50" s="1">
        <f>F50/$I50</f>
        <v>3.3221720805358163E-3</v>
      </c>
      <c r="O50" s="1">
        <f>B113/$I50</f>
        <v>1.8314585726215374E-3</v>
      </c>
      <c r="P50" s="1"/>
      <c r="Q50" s="1"/>
      <c r="R50" s="1"/>
      <c r="S50" s="1"/>
      <c r="T50" s="1"/>
      <c r="Z50" s="1"/>
      <c r="AA50" s="1"/>
      <c r="AB50" s="1"/>
      <c r="AC50" s="1"/>
      <c r="AD50" s="1"/>
    </row>
    <row r="51" spans="1:30" x14ac:dyDescent="0.2">
      <c r="A51">
        <v>30717</v>
      </c>
      <c r="B51" s="1">
        <v>3384920</v>
      </c>
      <c r="C51">
        <v>-346.59199999999998</v>
      </c>
      <c r="D51">
        <v>100094</v>
      </c>
      <c r="E51" s="1">
        <v>25095700</v>
      </c>
      <c r="F51">
        <v>100889</v>
      </c>
      <c r="G51">
        <v>7795.86</v>
      </c>
      <c r="I51" s="1">
        <f>SUM(B51:G51)</f>
        <v>28689052.267999999</v>
      </c>
      <c r="J51" s="1">
        <f>B51/$I51</f>
        <v>0.11798646983454267</v>
      </c>
      <c r="K51" s="1">
        <f>C51/$I51</f>
        <v>-1.2080984647463992E-5</v>
      </c>
      <c r="L51" s="1">
        <f>D51/$I51</f>
        <v>3.4889266841221403E-3</v>
      </c>
      <c r="M51" s="1">
        <f>E51/$I51</f>
        <v>0.87474831045541179</v>
      </c>
      <c r="N51" s="1">
        <f>F51/$I51</f>
        <v>3.5166376029971687E-3</v>
      </c>
      <c r="O51" s="1">
        <f>B114/$I51</f>
        <v>2.289873481574571E-3</v>
      </c>
      <c r="P51" s="1"/>
      <c r="Q51" s="1"/>
      <c r="R51" s="1"/>
      <c r="S51" s="1"/>
      <c r="T51" s="1"/>
      <c r="Z51" s="1"/>
      <c r="AA51" s="1"/>
      <c r="AB51" s="1"/>
      <c r="AC51" s="1"/>
      <c r="AD51" s="1"/>
    </row>
    <row r="52" spans="1:30" x14ac:dyDescent="0.2">
      <c r="A52">
        <v>31321</v>
      </c>
      <c r="B52" s="1">
        <v>3429880</v>
      </c>
      <c r="C52">
        <v>6623.89</v>
      </c>
      <c r="D52">
        <v>110371</v>
      </c>
      <c r="E52" s="1">
        <v>25090400</v>
      </c>
      <c r="F52">
        <v>100562</v>
      </c>
      <c r="G52">
        <v>19507.900000000001</v>
      </c>
      <c r="I52" s="1">
        <f>SUM(B52:G52)</f>
        <v>28757344.789999999</v>
      </c>
      <c r="J52" s="1">
        <f>B52/$I52</f>
        <v>0.1192697039676868</v>
      </c>
      <c r="K52" s="1">
        <f>C52/$I52</f>
        <v>2.3033732941517515E-4</v>
      </c>
      <c r="L52" s="1">
        <f>D52/$I52</f>
        <v>3.8380108040565733E-3</v>
      </c>
      <c r="M52" s="1">
        <f>E52/$I52</f>
        <v>0.87248667021319948</v>
      </c>
      <c r="N52" s="1">
        <f>F52/$I52</f>
        <v>3.4969153353465775E-3</v>
      </c>
      <c r="O52" s="1">
        <f>B115/$I52</f>
        <v>2.5366006678532436E-3</v>
      </c>
      <c r="P52" s="1"/>
      <c r="Q52" s="1"/>
      <c r="R52" s="1"/>
      <c r="S52" s="1"/>
      <c r="T52" s="1"/>
      <c r="Z52" s="1"/>
      <c r="AA52" s="1"/>
      <c r="AB52" s="1"/>
      <c r="AC52" s="1"/>
      <c r="AD52" s="1"/>
    </row>
    <row r="53" spans="1:30" x14ac:dyDescent="0.2">
      <c r="A53">
        <v>31926</v>
      </c>
      <c r="B53" s="1">
        <v>3394910</v>
      </c>
      <c r="C53">
        <v>14797.9</v>
      </c>
      <c r="D53">
        <v>100772</v>
      </c>
      <c r="E53" s="1">
        <v>25167400</v>
      </c>
      <c r="F53">
        <v>101154</v>
      </c>
      <c r="G53">
        <v>18048.099999999999</v>
      </c>
      <c r="I53" s="1">
        <f>SUM(B53:G53)</f>
        <v>28797082</v>
      </c>
      <c r="J53" s="1">
        <f>B53/$I53</f>
        <v>0.11789076407116526</v>
      </c>
      <c r="K53" s="1">
        <f>C53/$I53</f>
        <v>5.1386803704625344E-4</v>
      </c>
      <c r="L53" s="1">
        <f>D53/$I53</f>
        <v>3.4993823332516816E-3</v>
      </c>
      <c r="M53" s="1">
        <f>E53/$I53</f>
        <v>0.87395660435317712</v>
      </c>
      <c r="N53" s="1">
        <f>F53/$I53</f>
        <v>3.5126475661666E-3</v>
      </c>
      <c r="O53" s="1">
        <f>B116/$I53</f>
        <v>2.5363368413508008E-3</v>
      </c>
      <c r="P53" s="1"/>
      <c r="Q53" s="1"/>
      <c r="R53" s="1"/>
      <c r="S53" s="1"/>
      <c r="T53" s="1"/>
      <c r="Z53" s="1"/>
      <c r="AA53" s="1"/>
      <c r="AB53" s="1"/>
      <c r="AC53" s="1"/>
      <c r="AD53" s="1"/>
    </row>
    <row r="54" spans="1:30" x14ac:dyDescent="0.2">
      <c r="A54">
        <v>32529</v>
      </c>
      <c r="B54" s="1">
        <v>3373690</v>
      </c>
      <c r="C54">
        <v>14975.7</v>
      </c>
      <c r="D54">
        <v>108194</v>
      </c>
      <c r="E54" s="1">
        <v>25128500</v>
      </c>
      <c r="F54">
        <v>97912.5</v>
      </c>
      <c r="G54">
        <v>11093.3</v>
      </c>
      <c r="I54" s="1">
        <f>SUM(B54:G54)</f>
        <v>28734365.5</v>
      </c>
      <c r="J54" s="1">
        <f>B54/$I54</f>
        <v>0.1174095874850621</v>
      </c>
      <c r="K54" s="1">
        <f>C54/$I54</f>
        <v>5.2117733380958073E-4</v>
      </c>
      <c r="L54" s="1">
        <f>D54/$I54</f>
        <v>3.7653171774403721E-3</v>
      </c>
      <c r="M54" s="1">
        <f>E54/$I54</f>
        <v>0.87451034894088753</v>
      </c>
      <c r="N54" s="1">
        <f>F54/$I54</f>
        <v>3.4075052048739341E-3</v>
      </c>
      <c r="O54" s="1">
        <f>B117/$I54</f>
        <v>2.6688635251055051E-3</v>
      </c>
      <c r="P54" s="1"/>
      <c r="Q54" s="1"/>
      <c r="R54" s="1"/>
      <c r="S54" s="1"/>
      <c r="T54" s="1"/>
      <c r="Z54" s="1"/>
      <c r="AA54" s="1"/>
      <c r="AB54" s="1"/>
      <c r="AC54" s="1"/>
      <c r="AD54" s="1"/>
    </row>
    <row r="55" spans="1:30" x14ac:dyDescent="0.2">
      <c r="A55">
        <v>33134</v>
      </c>
      <c r="B55" s="1">
        <v>3409460</v>
      </c>
      <c r="C55">
        <v>1660.01</v>
      </c>
      <c r="D55">
        <v>114410</v>
      </c>
      <c r="E55" s="1">
        <v>25132500</v>
      </c>
      <c r="F55">
        <v>104879</v>
      </c>
      <c r="G55">
        <v>6739.57</v>
      </c>
      <c r="I55" s="1">
        <f>SUM(B55:G55)</f>
        <v>28769648.579999998</v>
      </c>
      <c r="J55" s="1">
        <f>B55/$I55</f>
        <v>0.11850892062582156</v>
      </c>
      <c r="K55" s="1">
        <f>C55/$I55</f>
        <v>5.770004438476183E-5</v>
      </c>
      <c r="L55" s="1">
        <f>D55/$I55</f>
        <v>3.9767604279857356E-3</v>
      </c>
      <c r="M55" s="1">
        <f>E55/$I55</f>
        <v>0.8735768853802246</v>
      </c>
      <c r="N55" s="1">
        <f>F55/$I55</f>
        <v>3.6454737953563144E-3</v>
      </c>
      <c r="O55" s="1">
        <f>B118/$I55</f>
        <v>2.4224696317093493E-3</v>
      </c>
      <c r="P55" s="1"/>
      <c r="Q55" s="1"/>
      <c r="R55" s="1"/>
      <c r="S55" s="1"/>
      <c r="T55" s="1"/>
      <c r="Z55" s="1"/>
      <c r="AA55" s="1"/>
      <c r="AB55" s="1"/>
      <c r="AC55" s="1"/>
      <c r="AD55" s="1"/>
    </row>
    <row r="56" spans="1:30" x14ac:dyDescent="0.2">
      <c r="A56">
        <v>33738</v>
      </c>
      <c r="B56" s="1">
        <v>3375060</v>
      </c>
      <c r="C56">
        <v>1886.93</v>
      </c>
      <c r="D56">
        <v>109781</v>
      </c>
      <c r="E56" s="1">
        <v>25082900</v>
      </c>
      <c r="F56">
        <v>93807.7</v>
      </c>
      <c r="G56">
        <v>7269.66</v>
      </c>
      <c r="I56" s="1">
        <f>SUM(B56:G56)</f>
        <v>28670705.289999999</v>
      </c>
      <c r="J56" s="1">
        <f>B56/$I56</f>
        <v>0.11771806678146773</v>
      </c>
      <c r="K56" s="1">
        <f>C56/$I56</f>
        <v>6.5813867531823114E-5</v>
      </c>
      <c r="L56" s="1">
        <f>D56/$I56</f>
        <v>3.8290303251901623E-3</v>
      </c>
      <c r="M56" s="1">
        <f>E56/$I56</f>
        <v>0.87486163128148153</v>
      </c>
      <c r="N56" s="1">
        <f>F56/$I56</f>
        <v>3.2719006753112213E-3</v>
      </c>
      <c r="O56" s="1">
        <f>B119/$I56</f>
        <v>9.5882189579717862E-4</v>
      </c>
      <c r="P56" s="1"/>
      <c r="Q56" s="1"/>
      <c r="R56" s="1"/>
      <c r="S56" s="1"/>
      <c r="T56" s="1"/>
      <c r="Z56" s="1"/>
      <c r="AA56" s="1"/>
      <c r="AB56" s="1"/>
      <c r="AC56" s="1"/>
      <c r="AD56" s="1"/>
    </row>
    <row r="57" spans="1:30" x14ac:dyDescent="0.2">
      <c r="A57">
        <v>34343</v>
      </c>
      <c r="B57" s="1">
        <v>3394990</v>
      </c>
      <c r="C57">
        <v>634.048</v>
      </c>
      <c r="D57">
        <v>89559.4</v>
      </c>
      <c r="E57" s="1">
        <v>25124300</v>
      </c>
      <c r="F57">
        <v>108480</v>
      </c>
      <c r="G57">
        <v>4666.95</v>
      </c>
      <c r="I57" s="1">
        <f>SUM(B57:G57)</f>
        <v>28722630.397999998</v>
      </c>
      <c r="J57" s="1">
        <f>B57/$I57</f>
        <v>0.11819913263363227</v>
      </c>
      <c r="K57" s="1">
        <f>C57/$I57</f>
        <v>2.2074858437900929E-5</v>
      </c>
      <c r="L57" s="1">
        <f>D57/$I57</f>
        <v>3.1180779322438432E-3</v>
      </c>
      <c r="M57" s="1">
        <f>E57/$I57</f>
        <v>0.87472141833324024</v>
      </c>
      <c r="N57" s="1">
        <f>F57/$I57</f>
        <v>3.776812864867475E-3</v>
      </c>
      <c r="O57" s="1">
        <f>B120/$I57</f>
        <v>3.0762816209950103E-3</v>
      </c>
      <c r="P57" s="1"/>
      <c r="Q57" s="1"/>
      <c r="R57" s="1"/>
      <c r="S57" s="1"/>
      <c r="T57" s="1"/>
      <c r="Z57" s="1"/>
      <c r="AA57" s="1"/>
      <c r="AB57" s="1"/>
      <c r="AC57" s="1"/>
      <c r="AD57" s="1"/>
    </row>
    <row r="58" spans="1:30" x14ac:dyDescent="0.2">
      <c r="A58">
        <v>34947</v>
      </c>
      <c r="B58" s="1">
        <v>3404140</v>
      </c>
      <c r="C58">
        <v>27419</v>
      </c>
      <c r="D58">
        <v>120773</v>
      </c>
      <c r="E58" s="1">
        <v>25287700</v>
      </c>
      <c r="F58">
        <v>126502</v>
      </c>
      <c r="G58">
        <v>27338.1</v>
      </c>
      <c r="I58" s="1">
        <f>SUM(B58:G58)</f>
        <v>28993872.100000001</v>
      </c>
      <c r="J58" s="1">
        <f>B58/$I58</f>
        <v>0.11740894725130556</v>
      </c>
      <c r="K58" s="1">
        <f>C58/$I58</f>
        <v>9.4568258787345618E-4</v>
      </c>
      <c r="L58" s="1">
        <f>D58/$I58</f>
        <v>4.1654663986739459E-3</v>
      </c>
      <c r="M58" s="1">
        <f>E58/$I58</f>
        <v>0.87217395154336763</v>
      </c>
      <c r="N58" s="1">
        <f>F58/$I58</f>
        <v>4.3630598756762813E-3</v>
      </c>
      <c r="O58" s="1">
        <f>B121/$I58</f>
        <v>2.0805741224194751E-3</v>
      </c>
      <c r="P58" s="1"/>
      <c r="Q58" s="1"/>
      <c r="R58" s="1"/>
      <c r="S58" s="1"/>
      <c r="T58" s="1"/>
      <c r="Z58" s="1"/>
      <c r="AA58" s="1"/>
      <c r="AB58" s="1"/>
      <c r="AC58" s="1"/>
      <c r="AD58" s="1"/>
    </row>
    <row r="59" spans="1:30" x14ac:dyDescent="0.2">
      <c r="A59">
        <v>35552</v>
      </c>
      <c r="B59" s="1">
        <v>3418710</v>
      </c>
      <c r="C59">
        <v>-4479.7700000000004</v>
      </c>
      <c r="D59">
        <v>120197</v>
      </c>
      <c r="E59" s="1">
        <v>25168800</v>
      </c>
      <c r="F59">
        <v>107615</v>
      </c>
      <c r="G59">
        <v>10493</v>
      </c>
      <c r="I59" s="1">
        <f>SUM(B59:G59)</f>
        <v>28821335.23</v>
      </c>
      <c r="J59" s="1">
        <f>B59/$I59</f>
        <v>0.11861733582840672</v>
      </c>
      <c r="K59" s="1">
        <f>C59/$I59</f>
        <v>-1.554324240792643E-4</v>
      </c>
      <c r="L59" s="1">
        <f>D59/$I59</f>
        <v>4.1704174716682618E-3</v>
      </c>
      <c r="M59" s="1">
        <f>E59/$I59</f>
        <v>0.87326974268013469</v>
      </c>
      <c r="N59" s="1">
        <f>F59/$I59</f>
        <v>3.7338658719733436E-3</v>
      </c>
      <c r="O59" s="1">
        <f>B122/$I59</f>
        <v>1.3000820295444723E-3</v>
      </c>
      <c r="P59" s="1"/>
      <c r="Q59" s="1"/>
      <c r="R59" s="1"/>
      <c r="S59" s="1"/>
      <c r="T59" s="1"/>
      <c r="Z59" s="1"/>
      <c r="AA59" s="1"/>
      <c r="AB59" s="1"/>
      <c r="AC59" s="1"/>
      <c r="AD59" s="1"/>
    </row>
    <row r="60" spans="1:30" x14ac:dyDescent="0.2">
      <c r="A60">
        <v>36156</v>
      </c>
      <c r="B60" s="1">
        <v>3415190</v>
      </c>
      <c r="C60">
        <v>4058.2</v>
      </c>
      <c r="D60">
        <v>103274</v>
      </c>
      <c r="E60" s="1">
        <v>25253900</v>
      </c>
      <c r="F60">
        <v>118130</v>
      </c>
      <c r="G60">
        <v>24721</v>
      </c>
      <c r="I60" s="1">
        <f>SUM(B60:G60)</f>
        <v>28919273.199999999</v>
      </c>
      <c r="J60" s="1">
        <f>B60/$I60</f>
        <v>0.11809390839047781</v>
      </c>
      <c r="K60" s="1">
        <f>C60/$I60</f>
        <v>1.4032856123092334E-4</v>
      </c>
      <c r="L60" s="1">
        <f>D60/$I60</f>
        <v>3.5711132602046169E-3</v>
      </c>
      <c r="M60" s="1">
        <f>E60/$I60</f>
        <v>0.87325500282628132</v>
      </c>
      <c r="N60" s="1">
        <f>F60/$I60</f>
        <v>4.0848191164085E-3</v>
      </c>
      <c r="O60" s="1">
        <f>B123/$I60</f>
        <v>2.8305828930721534E-3</v>
      </c>
      <c r="P60" s="1"/>
      <c r="Q60" s="1"/>
      <c r="R60" s="1"/>
      <c r="S60" s="1"/>
      <c r="T60" s="1"/>
      <c r="Z60" s="1"/>
      <c r="AA60" s="1"/>
      <c r="AB60" s="1"/>
      <c r="AC60" s="1"/>
      <c r="AD60" s="1"/>
    </row>
    <row r="61" spans="1:30" x14ac:dyDescent="0.2">
      <c r="A61">
        <v>36760</v>
      </c>
      <c r="B61" s="1">
        <v>3404960</v>
      </c>
      <c r="C61">
        <v>24187.4</v>
      </c>
      <c r="D61">
        <v>108041</v>
      </c>
      <c r="E61" s="1">
        <v>25153100</v>
      </c>
      <c r="F61">
        <v>116246</v>
      </c>
      <c r="G61">
        <v>22112.7</v>
      </c>
      <c r="I61" s="1">
        <f>SUM(B61:G61)</f>
        <v>28828647.099999998</v>
      </c>
      <c r="J61" s="1">
        <f>B61/$I61</f>
        <v>0.11811029453407823</v>
      </c>
      <c r="K61" s="1">
        <f>C61/$I61</f>
        <v>8.3900572635612865E-4</v>
      </c>
      <c r="L61" s="1">
        <f>D61/$I61</f>
        <v>3.7476958119203592E-3</v>
      </c>
      <c r="M61" s="1">
        <f>E61/$I61</f>
        <v>0.87250365626765758</v>
      </c>
      <c r="N61" s="1">
        <f>F61/$I61</f>
        <v>4.0323085435389717E-3</v>
      </c>
      <c r="O61" s="1">
        <f>B124/$I61</f>
        <v>2.5695343851220823E-3</v>
      </c>
      <c r="P61" s="1"/>
      <c r="Q61" s="1"/>
      <c r="R61" s="1"/>
      <c r="S61" s="1"/>
      <c r="T61" s="1"/>
      <c r="Z61" s="1"/>
      <c r="AA61" s="1"/>
      <c r="AB61" s="1"/>
      <c r="AC61" s="1"/>
      <c r="AD61" s="1"/>
    </row>
    <row r="64" spans="1:30" x14ac:dyDescent="0.2">
      <c r="A64" t="s">
        <v>0</v>
      </c>
      <c r="B64" t="s">
        <v>20</v>
      </c>
      <c r="C64" t="s">
        <v>21</v>
      </c>
      <c r="D64" t="s">
        <v>22</v>
      </c>
      <c r="E64" t="s">
        <v>23</v>
      </c>
      <c r="F64" t="s">
        <v>24</v>
      </c>
      <c r="J64" t="s">
        <v>20</v>
      </c>
      <c r="K64" t="s">
        <v>21</v>
      </c>
      <c r="L64" t="s">
        <v>22</v>
      </c>
      <c r="M64" t="s">
        <v>23</v>
      </c>
      <c r="N64" t="s">
        <v>24</v>
      </c>
    </row>
    <row r="65" spans="1:15" x14ac:dyDescent="0.2">
      <c r="A65">
        <v>1112</v>
      </c>
      <c r="B65">
        <v>18478.599999999999</v>
      </c>
      <c r="C65" s="1">
        <v>9478050</v>
      </c>
      <c r="D65" s="1">
        <v>75621500</v>
      </c>
      <c r="E65">
        <v>327867</v>
      </c>
      <c r="F65">
        <v>-5.4643499999999996</v>
      </c>
      <c r="I65" s="1">
        <f>SUM(B65:E65)</f>
        <v>85445895.599999994</v>
      </c>
      <c r="J65" s="1">
        <f>B65/$I65</f>
        <v>2.1626082645917049E-4</v>
      </c>
      <c r="K65" s="1">
        <f>C65/$I65</f>
        <v>0.11092457903852787</v>
      </c>
      <c r="L65" s="1">
        <f>D65/$I65</f>
        <v>0.88502203024483261</v>
      </c>
      <c r="M65" s="1">
        <f>E65/$I65</f>
        <v>3.8371298901804713E-3</v>
      </c>
      <c r="N65" s="1">
        <f>F65/$I65</f>
        <v>-6.3950994505112315E-8</v>
      </c>
      <c r="O65" s="1"/>
    </row>
    <row r="66" spans="1:15" x14ac:dyDescent="0.2">
      <c r="A66">
        <v>1716</v>
      </c>
      <c r="B66">
        <v>38198.699999999997</v>
      </c>
      <c r="C66" s="1">
        <v>9562740</v>
      </c>
      <c r="D66" s="1">
        <v>75357500</v>
      </c>
      <c r="E66">
        <v>309684</v>
      </c>
      <c r="F66">
        <v>29528.799999999999</v>
      </c>
      <c r="I66" s="1">
        <f>SUM(B66:G66)</f>
        <v>85297651.5</v>
      </c>
      <c r="J66" s="1">
        <f>B66/$I66</f>
        <v>4.4782827344314394E-4</v>
      </c>
      <c r="K66" s="1">
        <f>C66/$I66</f>
        <v>0.11211023787683064</v>
      </c>
      <c r="L66" s="1">
        <f>D66/$I66</f>
        <v>0.88346512095939711</v>
      </c>
      <c r="M66" s="1">
        <f>E66/$I66</f>
        <v>3.6306275091290176E-3</v>
      </c>
      <c r="N66" s="1">
        <f>F66/$I66</f>
        <v>3.4618538120009085E-4</v>
      </c>
      <c r="O66" s="1"/>
    </row>
    <row r="67" spans="1:15" x14ac:dyDescent="0.2">
      <c r="A67">
        <v>2322</v>
      </c>
      <c r="B67">
        <v>6913</v>
      </c>
      <c r="C67" s="1">
        <v>9227400</v>
      </c>
      <c r="D67" s="1">
        <v>74895000</v>
      </c>
      <c r="E67">
        <v>286736</v>
      </c>
      <c r="F67">
        <v>33337.9</v>
      </c>
      <c r="I67" s="1">
        <f>SUM(B67:G67)</f>
        <v>84449386.900000006</v>
      </c>
      <c r="J67" s="1">
        <f>B67/$I67</f>
        <v>8.1859682512390141E-5</v>
      </c>
      <c r="K67" s="1">
        <f>C67/$I67</f>
        <v>0.10926544689929536</v>
      </c>
      <c r="L67" s="1">
        <f>D67/$I67</f>
        <v>0.88686256643504413</v>
      </c>
      <c r="M67" s="1">
        <f>E67/$I67</f>
        <v>3.3953591674920729E-3</v>
      </c>
      <c r="N67" s="1">
        <f>F67/$I67</f>
        <v>3.9476781565598315E-4</v>
      </c>
      <c r="O67" s="1"/>
    </row>
    <row r="68" spans="1:15" x14ac:dyDescent="0.2">
      <c r="A68">
        <v>2925</v>
      </c>
      <c r="B68">
        <v>14163.7</v>
      </c>
      <c r="C68" s="1">
        <v>3707840</v>
      </c>
      <c r="D68" s="1">
        <v>29729700</v>
      </c>
      <c r="E68">
        <v>120548</v>
      </c>
      <c r="F68">
        <v>7882.66</v>
      </c>
      <c r="I68" s="1">
        <f>SUM(B68:G68)</f>
        <v>33580134.359999999</v>
      </c>
      <c r="J68" s="1">
        <f>B68/$I68</f>
        <v>4.2178806815232767E-4</v>
      </c>
      <c r="K68" s="1">
        <f>C68/$I68</f>
        <v>0.11041766421330067</v>
      </c>
      <c r="L68" s="1">
        <f>D68/$I68</f>
        <v>0.88533594539197069</v>
      </c>
      <c r="M68" s="1">
        <f>E68/$I68</f>
        <v>3.5898605618324871E-3</v>
      </c>
      <c r="N68" s="1">
        <f>F68/$I68</f>
        <v>2.3474176474379063E-4</v>
      </c>
      <c r="O68" s="1"/>
    </row>
    <row r="69" spans="1:15" x14ac:dyDescent="0.2">
      <c r="A69">
        <v>3530</v>
      </c>
      <c r="B69">
        <v>68757.2</v>
      </c>
      <c r="C69" s="1">
        <v>3686530</v>
      </c>
      <c r="D69" s="1">
        <v>29353500</v>
      </c>
      <c r="E69">
        <v>95736</v>
      </c>
      <c r="F69">
        <v>5731.96</v>
      </c>
      <c r="I69" s="1">
        <f>SUM(B69:G69)</f>
        <v>33210255.16</v>
      </c>
      <c r="J69" s="1">
        <f>B69/$I69</f>
        <v>2.0703604856012795E-3</v>
      </c>
      <c r="K69" s="1">
        <f>C69/$I69</f>
        <v>0.11100577162804311</v>
      </c>
      <c r="L69" s="1">
        <f>D69/$I69</f>
        <v>0.8838685477898629</v>
      </c>
      <c r="M69" s="1">
        <f>E69/$I69</f>
        <v>2.8827240121692579E-3</v>
      </c>
      <c r="N69" s="1">
        <f>F69/$I69</f>
        <v>1.7259608432349064E-4</v>
      </c>
      <c r="O69" s="1"/>
    </row>
    <row r="70" spans="1:15" x14ac:dyDescent="0.2">
      <c r="A70">
        <v>4133</v>
      </c>
      <c r="B70">
        <v>12524.5</v>
      </c>
      <c r="C70" s="1">
        <v>3777990</v>
      </c>
      <c r="D70" s="1">
        <v>29442800</v>
      </c>
      <c r="E70">
        <v>136771</v>
      </c>
      <c r="F70">
        <v>7125.71</v>
      </c>
      <c r="I70" s="1">
        <f>SUM(B70:G70)</f>
        <v>33377211.210000001</v>
      </c>
      <c r="J70" s="1">
        <f>B70/$I70</f>
        <v>3.7524105657597866E-4</v>
      </c>
      <c r="K70" s="1">
        <f>C70/$I70</f>
        <v>0.11319070296885957</v>
      </c>
      <c r="L70" s="1">
        <f>D70/$I70</f>
        <v>0.88212282969820954</v>
      </c>
      <c r="M70" s="1">
        <f>E70/$I70</f>
        <v>4.0977360013536015E-3</v>
      </c>
      <c r="N70" s="1">
        <f>F70/$I70</f>
        <v>2.1349027500131877E-4</v>
      </c>
      <c r="O70" s="1"/>
    </row>
    <row r="71" spans="1:15" x14ac:dyDescent="0.2">
      <c r="A71">
        <v>4737</v>
      </c>
      <c r="B71">
        <v>20519.599999999999</v>
      </c>
      <c r="C71" s="1">
        <v>3748860</v>
      </c>
      <c r="D71" s="1">
        <v>29630800</v>
      </c>
      <c r="E71">
        <v>149261</v>
      </c>
      <c r="F71">
        <v>13666.3</v>
      </c>
      <c r="I71" s="1">
        <f>SUM(B71:G71)</f>
        <v>33563106.899999999</v>
      </c>
      <c r="J71" s="1">
        <f>B71/$I71</f>
        <v>6.1137367470590152E-4</v>
      </c>
      <c r="K71" s="1">
        <f>C71/$I71</f>
        <v>0.11169585733435185</v>
      </c>
      <c r="L71" s="1">
        <f>D71/$I71</f>
        <v>0.88283841207799507</v>
      </c>
      <c r="M71" s="1">
        <f>E71/$I71</f>
        <v>4.4471747041987938E-3</v>
      </c>
      <c r="N71" s="1">
        <f>F71/$I71</f>
        <v>4.071822087483802E-4</v>
      </c>
      <c r="O71" s="1"/>
    </row>
    <row r="72" spans="1:15" x14ac:dyDescent="0.2">
      <c r="A72">
        <v>5341</v>
      </c>
      <c r="B72">
        <v>36838.300000000003</v>
      </c>
      <c r="C72" s="1">
        <v>9271450</v>
      </c>
      <c r="D72" s="1">
        <v>73865800</v>
      </c>
      <c r="E72">
        <v>351027</v>
      </c>
      <c r="F72">
        <v>57423.4</v>
      </c>
      <c r="I72" s="1">
        <f>SUM(B72:G72)</f>
        <v>83582538.700000003</v>
      </c>
      <c r="J72" s="1">
        <f>B72/$I72</f>
        <v>4.4074157800138707E-4</v>
      </c>
      <c r="K72" s="1">
        <f>C72/$I72</f>
        <v>0.11092568070081843</v>
      </c>
      <c r="L72" s="1">
        <f>D72/$I72</f>
        <v>0.88374678669577189</v>
      </c>
      <c r="M72" s="1">
        <f>E72/$I72</f>
        <v>4.1997647530177254E-3</v>
      </c>
      <c r="N72" s="1">
        <f>F72/$I72</f>
        <v>6.8702627239055139E-4</v>
      </c>
      <c r="O72" s="1"/>
    </row>
    <row r="73" spans="1:15" x14ac:dyDescent="0.2">
      <c r="A73">
        <v>5945</v>
      </c>
      <c r="B73">
        <v>-2495.36</v>
      </c>
      <c r="C73" s="1">
        <v>3693470</v>
      </c>
      <c r="D73" s="1">
        <v>29840900</v>
      </c>
      <c r="E73">
        <v>229740</v>
      </c>
      <c r="F73">
        <v>25082.9</v>
      </c>
      <c r="I73" s="1">
        <f>SUM(B73:G73)</f>
        <v>33786697.539999999</v>
      </c>
      <c r="J73" s="1">
        <f>B73/$I73</f>
        <v>-7.3856286103302893E-5</v>
      </c>
      <c r="K73" s="1">
        <f>C73/$I73</f>
        <v>0.10931728369211903</v>
      </c>
      <c r="L73" s="1">
        <f>D73/$I73</f>
        <v>0.88321446523950509</v>
      </c>
      <c r="M73" s="1">
        <f>E73/$I73</f>
        <v>6.7997175435098771E-3</v>
      </c>
      <c r="N73" s="1">
        <f>F73/$I73</f>
        <v>7.4238981096937367E-4</v>
      </c>
      <c r="O73" s="1"/>
    </row>
    <row r="74" spans="1:15" x14ac:dyDescent="0.2">
      <c r="A74">
        <v>6549</v>
      </c>
      <c r="B74">
        <v>7381.13</v>
      </c>
      <c r="C74" s="1">
        <v>3683460</v>
      </c>
      <c r="D74" s="1">
        <v>29682800</v>
      </c>
      <c r="E74">
        <v>170465</v>
      </c>
      <c r="F74">
        <v>29802.2</v>
      </c>
      <c r="I74" s="1">
        <f>SUM(B74:G74)</f>
        <v>33573908.329999998</v>
      </c>
      <c r="J74" s="1">
        <f>B74/$I74</f>
        <v>2.1984720776176614E-4</v>
      </c>
      <c r="K74" s="1">
        <f>C74/$I74</f>
        <v>0.10971198121455049</v>
      </c>
      <c r="L74" s="1">
        <f>D74/$I74</f>
        <v>0.8841032062232953</v>
      </c>
      <c r="M74" s="1">
        <f>E74/$I74</f>
        <v>5.0773058151136023E-3</v>
      </c>
      <c r="N74" s="1">
        <f>F74/$I74</f>
        <v>8.8765953927890534E-4</v>
      </c>
      <c r="O74" s="1"/>
    </row>
    <row r="75" spans="1:15" x14ac:dyDescent="0.2">
      <c r="A75">
        <v>7153</v>
      </c>
      <c r="B75">
        <v>44606.8</v>
      </c>
      <c r="C75" s="1">
        <v>3679890</v>
      </c>
      <c r="D75" s="1">
        <v>29264300</v>
      </c>
      <c r="E75">
        <v>114898</v>
      </c>
      <c r="F75">
        <v>15282.7</v>
      </c>
      <c r="I75" s="1">
        <f>SUM(B75:G75)</f>
        <v>33118977.5</v>
      </c>
      <c r="J75" s="1">
        <f>B75/$I75</f>
        <v>1.3468652527089643E-3</v>
      </c>
      <c r="K75" s="1">
        <f>C75/$I75</f>
        <v>0.11111122014560987</v>
      </c>
      <c r="L75" s="1">
        <f>D75/$I75</f>
        <v>0.88361121656005226</v>
      </c>
      <c r="M75" s="1">
        <f>E75/$I75</f>
        <v>3.4692496167793825E-3</v>
      </c>
      <c r="N75" s="1">
        <f>F75/$I75</f>
        <v>4.6144842484946886E-4</v>
      </c>
      <c r="O75" s="1"/>
    </row>
    <row r="76" spans="1:15" x14ac:dyDescent="0.2">
      <c r="A76">
        <v>7757</v>
      </c>
      <c r="B76">
        <v>59867</v>
      </c>
      <c r="C76" s="1">
        <v>3695160</v>
      </c>
      <c r="D76" s="1">
        <v>29232600</v>
      </c>
      <c r="E76">
        <v>120135</v>
      </c>
      <c r="F76">
        <v>51980.6</v>
      </c>
      <c r="I76" s="1">
        <f>SUM(B76:G76)</f>
        <v>33159742.600000001</v>
      </c>
      <c r="J76" s="1">
        <f>B76/$I76</f>
        <v>1.8054120842301109E-3</v>
      </c>
      <c r="K76" s="1">
        <f>C76/$I76</f>
        <v>0.11143512314236118</v>
      </c>
      <c r="L76" s="1">
        <f>D76/$I76</f>
        <v>0.88156896609927238</v>
      </c>
      <c r="M76" s="1">
        <f>E76/$I76</f>
        <v>3.6229171453218698E-3</v>
      </c>
      <c r="N76" s="1">
        <f>F76/$I76</f>
        <v>1.5675815288144002E-3</v>
      </c>
      <c r="O76" s="1"/>
    </row>
    <row r="77" spans="1:15" x14ac:dyDescent="0.2">
      <c r="A77">
        <v>8361</v>
      </c>
      <c r="B77">
        <v>10826.4</v>
      </c>
      <c r="C77" s="1">
        <v>3632560</v>
      </c>
      <c r="D77" s="1">
        <v>29138500</v>
      </c>
      <c r="E77">
        <v>138629</v>
      </c>
      <c r="F77">
        <v>13032.3</v>
      </c>
      <c r="I77" s="1">
        <f>SUM(B77:G77)</f>
        <v>32933547.699999999</v>
      </c>
      <c r="J77" s="1">
        <f>B77/$I77</f>
        <v>3.287347023351511E-4</v>
      </c>
      <c r="K77" s="1">
        <f>C77/$I77</f>
        <v>0.11029968690558048</v>
      </c>
      <c r="L77" s="1">
        <f>D77/$I77</f>
        <v>0.88476650816456071</v>
      </c>
      <c r="M77" s="1">
        <f>E77/$I77</f>
        <v>4.2093551919400408E-3</v>
      </c>
      <c r="N77" s="1">
        <f>F77/$I77</f>
        <v>3.9571503558360945E-4</v>
      </c>
      <c r="O77" s="1"/>
    </row>
    <row r="78" spans="1:15" x14ac:dyDescent="0.2">
      <c r="A78">
        <v>8966</v>
      </c>
      <c r="B78">
        <v>66301.899999999994</v>
      </c>
      <c r="C78" s="1">
        <v>3654400</v>
      </c>
      <c r="D78" s="1">
        <v>29501800</v>
      </c>
      <c r="E78">
        <v>195588</v>
      </c>
      <c r="F78">
        <v>19380.599999999999</v>
      </c>
      <c r="I78" s="1">
        <f>SUM(B78:G78)</f>
        <v>33437470.5</v>
      </c>
      <c r="J78" s="1">
        <f>B78/$I78</f>
        <v>1.9828623101140379E-3</v>
      </c>
      <c r="K78" s="1">
        <f>C78/$I78</f>
        <v>0.1092905637105534</v>
      </c>
      <c r="L78" s="1">
        <f>D78/$I78</f>
        <v>0.88229760083078057</v>
      </c>
      <c r="M78" s="1">
        <f>E78/$I78</f>
        <v>5.8493659082256236E-3</v>
      </c>
      <c r="N78" s="1">
        <f>F78/$I78</f>
        <v>5.7960724032638769E-4</v>
      </c>
      <c r="O78" s="1"/>
    </row>
    <row r="79" spans="1:15" x14ac:dyDescent="0.2">
      <c r="A79">
        <v>9570</v>
      </c>
      <c r="B79">
        <v>66008</v>
      </c>
      <c r="C79" s="1">
        <v>3641740</v>
      </c>
      <c r="D79" s="1">
        <v>29234800</v>
      </c>
      <c r="E79">
        <v>145750</v>
      </c>
      <c r="F79">
        <v>20464.5</v>
      </c>
      <c r="I79" s="1">
        <f>SUM(B79:G79)</f>
        <v>33108762.5</v>
      </c>
      <c r="J79" s="1">
        <f>B79/$I79</f>
        <v>1.9936716148783876E-3</v>
      </c>
      <c r="K79" s="1">
        <f>C79/$I79</f>
        <v>0.10999323819487364</v>
      </c>
      <c r="L79" s="1">
        <f>D79/$I79</f>
        <v>0.8829928330906357</v>
      </c>
      <c r="M79" s="1">
        <f>E79/$I79</f>
        <v>4.402157887960929E-3</v>
      </c>
      <c r="N79" s="1">
        <f>F79/$I79</f>
        <v>6.180992116512962E-4</v>
      </c>
      <c r="O79" s="1"/>
    </row>
    <row r="80" spans="1:15" x14ac:dyDescent="0.2">
      <c r="A80">
        <v>10175</v>
      </c>
      <c r="B80">
        <v>55151.4</v>
      </c>
      <c r="C80" s="1">
        <v>3685200</v>
      </c>
      <c r="D80" s="1">
        <v>29355400</v>
      </c>
      <c r="E80">
        <v>151170</v>
      </c>
      <c r="F80">
        <v>35893</v>
      </c>
      <c r="I80" s="1">
        <f>SUM(B80:G80)</f>
        <v>33282814.399999999</v>
      </c>
      <c r="J80" s="1">
        <f>B80/$I80</f>
        <v>1.6570533770725834E-3</v>
      </c>
      <c r="K80" s="1">
        <f>C80/$I80</f>
        <v>0.11072380946245941</v>
      </c>
      <c r="L80" s="1">
        <f>D80/$I80</f>
        <v>0.8819987290497886</v>
      </c>
      <c r="M80" s="1">
        <f>E80/$I80</f>
        <v>4.541983685129705E-3</v>
      </c>
      <c r="N80" s="1">
        <f>F80/$I80</f>
        <v>1.0784244255497817E-3</v>
      </c>
      <c r="O80" s="1"/>
    </row>
    <row r="81" spans="1:15" x14ac:dyDescent="0.2">
      <c r="A81">
        <v>10778</v>
      </c>
      <c r="B81">
        <v>-1814.22</v>
      </c>
      <c r="C81" s="1">
        <v>3418490</v>
      </c>
      <c r="D81" s="1">
        <v>29447300</v>
      </c>
      <c r="E81">
        <v>174458</v>
      </c>
      <c r="F81">
        <v>25243.8</v>
      </c>
      <c r="I81" s="1">
        <f>SUM(B81:G81)</f>
        <v>33063677.580000002</v>
      </c>
      <c r="J81" s="1">
        <f>B81/$I81</f>
        <v>-5.4870484253010305E-5</v>
      </c>
      <c r="K81" s="1">
        <f>C81/$I81</f>
        <v>0.10339110014996704</v>
      </c>
      <c r="L81" s="1">
        <f>D81/$I81</f>
        <v>0.89062385539993516</v>
      </c>
      <c r="M81" s="1">
        <f>E81/$I81</f>
        <v>5.2764245470845166E-3</v>
      </c>
      <c r="N81" s="1">
        <f>F81/$I81</f>
        <v>7.6349038726623093E-4</v>
      </c>
      <c r="O81" s="1"/>
    </row>
    <row r="82" spans="1:15" x14ac:dyDescent="0.2">
      <c r="A82">
        <v>11384</v>
      </c>
      <c r="B82">
        <v>45606.2</v>
      </c>
      <c r="C82" s="1">
        <v>3624000</v>
      </c>
      <c r="D82" s="1">
        <v>29235800</v>
      </c>
      <c r="E82">
        <v>133756</v>
      </c>
      <c r="F82">
        <v>60603.4</v>
      </c>
      <c r="I82" s="1">
        <f>SUM(B82:G82)</f>
        <v>33099765.599999998</v>
      </c>
      <c r="J82" s="1">
        <f>B82/$I82</f>
        <v>1.3778405729858098E-3</v>
      </c>
      <c r="K82" s="1">
        <f>C82/$I82</f>
        <v>0.10948718017507654</v>
      </c>
      <c r="L82" s="1">
        <f>D82/$I82</f>
        <v>0.88326305247309678</v>
      </c>
      <c r="M82" s="1">
        <f>E82/$I82</f>
        <v>4.0409953839673114E-3</v>
      </c>
      <c r="N82" s="1">
        <f>F82/$I82</f>
        <v>1.8309313948736848E-3</v>
      </c>
      <c r="O82" s="1"/>
    </row>
    <row r="83" spans="1:15" x14ac:dyDescent="0.2">
      <c r="A83">
        <v>11988</v>
      </c>
      <c r="B83">
        <v>18630.2</v>
      </c>
      <c r="C83" s="1">
        <v>3690980</v>
      </c>
      <c r="D83" s="1">
        <v>29218300</v>
      </c>
      <c r="E83">
        <v>129241</v>
      </c>
      <c r="F83">
        <v>23483.3</v>
      </c>
      <c r="I83" s="1">
        <f>SUM(B83:G83)</f>
        <v>33080634.5</v>
      </c>
      <c r="J83" s="1">
        <f>B83/$I83</f>
        <v>5.6317541309553788E-4</v>
      </c>
      <c r="K83" s="1">
        <f>C83/$I83</f>
        <v>0.11157524805033592</v>
      </c>
      <c r="L83" s="1">
        <f>D83/$I83</f>
        <v>0.88324484828125049</v>
      </c>
      <c r="M83" s="1">
        <f>E83/$I83</f>
        <v>3.9068476754882077E-3</v>
      </c>
      <c r="N83" s="1">
        <f>F83/$I83</f>
        <v>7.0988057982986996E-4</v>
      </c>
      <c r="O83" s="1"/>
    </row>
    <row r="84" spans="1:15" x14ac:dyDescent="0.2">
      <c r="A84">
        <v>12592</v>
      </c>
      <c r="B84">
        <v>57512</v>
      </c>
      <c r="C84" s="1">
        <v>3640730</v>
      </c>
      <c r="D84" s="1">
        <v>29303400</v>
      </c>
      <c r="E84">
        <v>150382</v>
      </c>
      <c r="F84">
        <v>23450.799999999999</v>
      </c>
      <c r="I84" s="1">
        <f>SUM(B84:G84)</f>
        <v>33175474.800000001</v>
      </c>
      <c r="J84" s="1">
        <f>B84/$I84</f>
        <v>1.7335697634084802E-3</v>
      </c>
      <c r="K84" s="1">
        <f>C84/$I84</f>
        <v>0.10974160948557095</v>
      </c>
      <c r="L84" s="1">
        <f>D84/$I84</f>
        <v>0.88328502234427697</v>
      </c>
      <c r="M84" s="1">
        <f>E84/$I84</f>
        <v>4.5329268354585839E-3</v>
      </c>
      <c r="N84" s="1">
        <f>F84/$I84</f>
        <v>7.0687157128494207E-4</v>
      </c>
      <c r="O84" s="1"/>
    </row>
    <row r="85" spans="1:15" x14ac:dyDescent="0.2">
      <c r="A85">
        <v>13196</v>
      </c>
      <c r="B85">
        <v>7549.09</v>
      </c>
      <c r="C85" s="1">
        <v>3664910</v>
      </c>
      <c r="D85" s="1">
        <v>29362400</v>
      </c>
      <c r="E85">
        <v>148589</v>
      </c>
      <c r="F85">
        <v>17617.400000000001</v>
      </c>
      <c r="I85" s="1">
        <f>SUM(B85:G85)</f>
        <v>33201065.489999998</v>
      </c>
      <c r="J85" s="1">
        <f>B85/$I85</f>
        <v>2.273749317555411E-4</v>
      </c>
      <c r="K85" s="1">
        <f>C85/$I85</f>
        <v>0.11038531281786283</v>
      </c>
      <c r="L85" s="1">
        <f>D85/$I85</f>
        <v>0.88438125604263551</v>
      </c>
      <c r="M85" s="1">
        <f>E85/$I85</f>
        <v>4.4754286589011516E-3</v>
      </c>
      <c r="N85" s="1">
        <f>F85/$I85</f>
        <v>5.3062754884496935E-4</v>
      </c>
      <c r="O85" s="1"/>
    </row>
    <row r="86" spans="1:15" x14ac:dyDescent="0.2">
      <c r="A86">
        <v>13800</v>
      </c>
      <c r="B86">
        <v>57025</v>
      </c>
      <c r="C86" s="1">
        <v>3552970</v>
      </c>
      <c r="D86" s="1">
        <v>29267800</v>
      </c>
      <c r="E86">
        <v>131971</v>
      </c>
      <c r="F86">
        <v>45479.7</v>
      </c>
      <c r="I86" s="1">
        <f>SUM(B86:G86)</f>
        <v>33055245.699999999</v>
      </c>
      <c r="J86" s="1">
        <f>B86/$I86</f>
        <v>1.7251422215264309E-3</v>
      </c>
      <c r="K86" s="1">
        <f>C86/$I86</f>
        <v>0.10748581427122776</v>
      </c>
      <c r="L86" s="1">
        <f>D86/$I86</f>
        <v>0.88542073671532262</v>
      </c>
      <c r="M86" s="1">
        <f>E86/$I86</f>
        <v>3.9924374242361173E-3</v>
      </c>
      <c r="N86" s="1">
        <f>F86/$I86</f>
        <v>1.3758693676870779E-3</v>
      </c>
      <c r="O86" s="1"/>
    </row>
    <row r="87" spans="1:15" x14ac:dyDescent="0.2">
      <c r="A87">
        <v>14404</v>
      </c>
      <c r="B87">
        <v>51877.2</v>
      </c>
      <c r="C87" s="1">
        <v>3599710</v>
      </c>
      <c r="D87" s="1">
        <v>29389000</v>
      </c>
      <c r="E87">
        <v>153064</v>
      </c>
      <c r="F87">
        <v>19379.400000000001</v>
      </c>
      <c r="I87" s="1">
        <f>SUM(B87:G87)</f>
        <v>33213030.599999998</v>
      </c>
      <c r="J87" s="1">
        <f>B87/$I87</f>
        <v>1.5619532172411873E-3</v>
      </c>
      <c r="K87" s="1">
        <f>C87/$I87</f>
        <v>0.1083824611897958</v>
      </c>
      <c r="L87" s="1">
        <f>D87/$I87</f>
        <v>0.88486354509305154</v>
      </c>
      <c r="M87" s="1">
        <f>E87/$I87</f>
        <v>4.6085526443949386E-3</v>
      </c>
      <c r="N87" s="1">
        <f>F87/$I87</f>
        <v>5.8348785551656356E-4</v>
      </c>
      <c r="O87" s="1"/>
    </row>
    <row r="88" spans="1:15" x14ac:dyDescent="0.2">
      <c r="A88">
        <v>15008</v>
      </c>
      <c r="B88">
        <v>67382.8</v>
      </c>
      <c r="C88" s="1">
        <v>3635880</v>
      </c>
      <c r="D88" s="1">
        <v>29273500</v>
      </c>
      <c r="E88">
        <v>161807</v>
      </c>
      <c r="F88">
        <v>29647.599999999999</v>
      </c>
      <c r="I88" s="1">
        <f>SUM(B88:G88)</f>
        <v>33168217.400000002</v>
      </c>
      <c r="J88" s="1">
        <f>B88/$I88</f>
        <v>2.0315472244824347E-3</v>
      </c>
      <c r="K88" s="1">
        <f>C88/$I88</f>
        <v>0.10961939727276389</v>
      </c>
      <c r="L88" s="1">
        <f>D88/$I88</f>
        <v>0.88257682488537947</v>
      </c>
      <c r="M88" s="1">
        <f>E88/$I88</f>
        <v>4.8783749228561192E-3</v>
      </c>
      <c r="N88" s="1">
        <f>F88/$I88</f>
        <v>8.9385569451796933E-4</v>
      </c>
      <c r="O88" s="1"/>
    </row>
    <row r="89" spans="1:15" x14ac:dyDescent="0.2">
      <c r="A89">
        <v>15612</v>
      </c>
      <c r="B89">
        <v>70099.199999999997</v>
      </c>
      <c r="C89" s="1">
        <v>3696220</v>
      </c>
      <c r="D89" s="1">
        <v>29526500</v>
      </c>
      <c r="E89">
        <v>283669</v>
      </c>
      <c r="F89">
        <v>97675.199999999997</v>
      </c>
      <c r="I89" s="1">
        <f>SUM(B89:G89)</f>
        <v>33674163.400000006</v>
      </c>
      <c r="J89" s="1">
        <f>B89/$I89</f>
        <v>2.0816909144059088E-3</v>
      </c>
      <c r="K89" s="1">
        <f>C89/$I89</f>
        <v>0.10976427108505388</v>
      </c>
      <c r="L89" s="1">
        <f>D89/$I89</f>
        <v>0.87682950424835182</v>
      </c>
      <c r="M89" s="1">
        <f>E89/$I89</f>
        <v>8.4239360791365635E-3</v>
      </c>
      <c r="N89" s="1">
        <f>F89/$I89</f>
        <v>2.9005976730516188E-3</v>
      </c>
      <c r="O89" s="1"/>
    </row>
    <row r="90" spans="1:15" x14ac:dyDescent="0.2">
      <c r="A90">
        <v>16216</v>
      </c>
      <c r="B90">
        <v>53151.7</v>
      </c>
      <c r="C90" s="1">
        <v>3652990</v>
      </c>
      <c r="D90" s="1">
        <v>29124100</v>
      </c>
      <c r="E90">
        <v>120451</v>
      </c>
      <c r="F90">
        <v>22760.5</v>
      </c>
      <c r="I90" s="1">
        <f>SUM(B90:G90)</f>
        <v>32973453.199999999</v>
      </c>
      <c r="J90" s="1">
        <f>B90/$I90</f>
        <v>1.611954309959868E-3</v>
      </c>
      <c r="K90" s="1">
        <f>C90/$I90</f>
        <v>0.11078578812606743</v>
      </c>
      <c r="L90" s="1">
        <f>D90/$I90</f>
        <v>0.88325902122984201</v>
      </c>
      <c r="M90" s="1">
        <f>E90/$I90</f>
        <v>3.6529689283499129E-3</v>
      </c>
      <c r="N90" s="1">
        <f>F90/$I90</f>
        <v>6.9026740578084192E-4</v>
      </c>
      <c r="O90" s="1"/>
    </row>
    <row r="91" spans="1:15" x14ac:dyDescent="0.2">
      <c r="A91">
        <v>16820</v>
      </c>
      <c r="B91">
        <v>4253.5600000000004</v>
      </c>
      <c r="C91" s="1">
        <v>3657950</v>
      </c>
      <c r="D91" s="1">
        <v>29235300</v>
      </c>
      <c r="E91">
        <v>174399</v>
      </c>
      <c r="F91">
        <v>69624.800000000003</v>
      </c>
      <c r="I91" s="1">
        <f>SUM(B91:G91)</f>
        <v>33141527.359999999</v>
      </c>
      <c r="J91" s="1">
        <f>B91/$I91</f>
        <v>1.2834532198216709E-4</v>
      </c>
      <c r="K91" s="1">
        <f>C91/$I91</f>
        <v>0.11037360952817596</v>
      </c>
      <c r="L91" s="1">
        <f>D91/$I91</f>
        <v>0.88213496265369473</v>
      </c>
      <c r="M91" s="1">
        <f>E91/$I91</f>
        <v>5.2622499290871545E-3</v>
      </c>
      <c r="N91" s="1">
        <f>F91/$I91</f>
        <v>2.1008325670600599E-3</v>
      </c>
      <c r="O91" s="1"/>
    </row>
    <row r="92" spans="1:15" x14ac:dyDescent="0.2">
      <c r="A92">
        <v>17425</v>
      </c>
      <c r="B92">
        <v>59732.7</v>
      </c>
      <c r="C92" s="1">
        <v>3653340</v>
      </c>
      <c r="D92" s="1">
        <v>29194200</v>
      </c>
      <c r="E92">
        <v>141950</v>
      </c>
      <c r="F92">
        <v>25442.799999999999</v>
      </c>
      <c r="I92" s="1">
        <f>SUM(B92:G92)</f>
        <v>33074665.5</v>
      </c>
      <c r="J92" s="1">
        <f>B92/$I92</f>
        <v>1.8059955889803329E-3</v>
      </c>
      <c r="K92" s="1">
        <f>C92/$I92</f>
        <v>0.11045735292470305</v>
      </c>
      <c r="L92" s="1">
        <f>D92/$I92</f>
        <v>0.88267559349919955</v>
      </c>
      <c r="M92" s="1">
        <f>E92/$I92</f>
        <v>4.2918045535486971E-3</v>
      </c>
      <c r="N92" s="1">
        <f>F92/$I92</f>
        <v>7.6925343356836059E-4</v>
      </c>
      <c r="O92" s="1"/>
    </row>
    <row r="93" spans="1:15" x14ac:dyDescent="0.2">
      <c r="A93">
        <v>18029</v>
      </c>
      <c r="B93">
        <v>42864.9</v>
      </c>
      <c r="C93" s="1">
        <v>3398850</v>
      </c>
      <c r="D93" s="1">
        <v>29566400</v>
      </c>
      <c r="E93">
        <v>289820</v>
      </c>
      <c r="F93">
        <v>81280</v>
      </c>
      <c r="I93" s="1">
        <f>SUM(B93:G93)</f>
        <v>33379214.899999999</v>
      </c>
      <c r="J93" s="1">
        <f>B93/$I93</f>
        <v>1.2841793951241197E-3</v>
      </c>
      <c r="K93" s="1">
        <f>C93/$I93</f>
        <v>0.10182534281236195</v>
      </c>
      <c r="L93" s="1">
        <f>D93/$I93</f>
        <v>0.88577278071330556</v>
      </c>
      <c r="M93" s="1">
        <f>E93/$I93</f>
        <v>8.6826487941152868E-3</v>
      </c>
      <c r="N93" s="1">
        <f>F93/$I93</f>
        <v>2.4350482850931283E-3</v>
      </c>
      <c r="O93" s="1"/>
    </row>
    <row r="94" spans="1:15" x14ac:dyDescent="0.2">
      <c r="A94">
        <v>18633</v>
      </c>
      <c r="B94">
        <v>57105.7</v>
      </c>
      <c r="C94" s="1">
        <v>3676360</v>
      </c>
      <c r="D94" s="1">
        <v>29521500</v>
      </c>
      <c r="E94">
        <v>296915</v>
      </c>
      <c r="F94">
        <v>33946.300000000003</v>
      </c>
      <c r="I94" s="1">
        <f>SUM(B94:G94)</f>
        <v>33585827</v>
      </c>
      <c r="J94" s="1">
        <f>B94/$I94</f>
        <v>1.7002916140787599E-3</v>
      </c>
      <c r="K94" s="1">
        <f>C94/$I94</f>
        <v>0.10946164880799272</v>
      </c>
      <c r="L94" s="1">
        <f>D94/$I94</f>
        <v>0.87898684168176056</v>
      </c>
      <c r="M94" s="1">
        <f>E94/$I94</f>
        <v>8.8404850057734168E-3</v>
      </c>
      <c r="N94" s="1">
        <f>F94/$I94</f>
        <v>1.0107328903945108E-3</v>
      </c>
      <c r="O94" s="1"/>
    </row>
    <row r="95" spans="1:15" x14ac:dyDescent="0.2">
      <c r="A95">
        <v>19237</v>
      </c>
      <c r="B95">
        <v>45394.3</v>
      </c>
      <c r="C95" s="1">
        <v>3645400</v>
      </c>
      <c r="D95" s="1">
        <v>29354600</v>
      </c>
      <c r="E95">
        <v>166233</v>
      </c>
      <c r="F95">
        <v>98141</v>
      </c>
      <c r="I95" s="1">
        <f>SUM(B95:G95)</f>
        <v>33309768.300000001</v>
      </c>
      <c r="J95" s="1">
        <f>B95/$I95</f>
        <v>1.362792427469392E-3</v>
      </c>
      <c r="K95" s="1">
        <f>C95/$I95</f>
        <v>0.10943936827083843</v>
      </c>
      <c r="L95" s="1">
        <f>D95/$I95</f>
        <v>0.88126100835111476</v>
      </c>
      <c r="M95" s="1">
        <f>E95/$I95</f>
        <v>4.9905180517271861E-3</v>
      </c>
      <c r="N95" s="1">
        <f>F95/$I95</f>
        <v>2.9463128988501549E-3</v>
      </c>
      <c r="O95" s="1"/>
    </row>
    <row r="96" spans="1:15" x14ac:dyDescent="0.2">
      <c r="A96">
        <v>19841</v>
      </c>
      <c r="B96">
        <v>65691.399999999994</v>
      </c>
      <c r="C96" s="1">
        <v>3678040</v>
      </c>
      <c r="D96" s="1">
        <v>29300400</v>
      </c>
      <c r="E96">
        <v>190559</v>
      </c>
      <c r="F96">
        <v>42549.5</v>
      </c>
      <c r="I96" s="1">
        <f>SUM(B96:G96)</f>
        <v>33277239.899999999</v>
      </c>
      <c r="J96" s="1">
        <f>B96/$I96</f>
        <v>1.974063960755351E-3</v>
      </c>
      <c r="K96" s="1">
        <f>C96/$I96</f>
        <v>0.11052719549616254</v>
      </c>
      <c r="L96" s="1">
        <f>D96/$I96</f>
        <v>0.88049369743552564</v>
      </c>
      <c r="M96" s="1">
        <f>E96/$I96</f>
        <v>5.7264064138925182E-3</v>
      </c>
      <c r="N96" s="1">
        <f>F96/$I96</f>
        <v>1.2786366936640078E-3</v>
      </c>
      <c r="O96" s="1"/>
    </row>
    <row r="97" spans="1:15" x14ac:dyDescent="0.2">
      <c r="A97">
        <v>20445</v>
      </c>
      <c r="B97">
        <v>58101.9</v>
      </c>
      <c r="C97" s="1">
        <v>3636180</v>
      </c>
      <c r="D97" s="1">
        <v>29136300</v>
      </c>
      <c r="E97">
        <v>130522</v>
      </c>
      <c r="F97">
        <v>23545</v>
      </c>
      <c r="I97" s="1">
        <f>SUM(B97:G97)</f>
        <v>32984648.899999999</v>
      </c>
      <c r="J97" s="1">
        <f>B97/$I97</f>
        <v>1.761483051590099E-3</v>
      </c>
      <c r="K97" s="1">
        <f>C97/$I97</f>
        <v>0.11023855403232745</v>
      </c>
      <c r="L97" s="1">
        <f>D97/$I97</f>
        <v>0.88332909312853114</v>
      </c>
      <c r="M97" s="1">
        <f>E97/$I97</f>
        <v>3.9570528822576011E-3</v>
      </c>
      <c r="N97" s="1">
        <f>F97/$I97</f>
        <v>7.1381690529378355E-4</v>
      </c>
      <c r="O97" s="1"/>
    </row>
    <row r="98" spans="1:15" x14ac:dyDescent="0.2">
      <c r="A98">
        <v>21050</v>
      </c>
      <c r="B98">
        <v>81712.5</v>
      </c>
      <c r="C98" s="1">
        <v>3566530</v>
      </c>
      <c r="D98" s="1">
        <v>29151700</v>
      </c>
      <c r="E98">
        <v>137982</v>
      </c>
      <c r="F98">
        <v>27204.7</v>
      </c>
      <c r="I98" s="1">
        <f>SUM(B98:G98)</f>
        <v>32965129.199999999</v>
      </c>
      <c r="J98" s="1">
        <f>B98/$I98</f>
        <v>2.478755642189323E-3</v>
      </c>
      <c r="K98" s="1">
        <f>C98/$I98</f>
        <v>0.10819099110341118</v>
      </c>
      <c r="L98" s="1">
        <f>D98/$I98</f>
        <v>0.88431930065057962</v>
      </c>
      <c r="M98" s="1">
        <f>E98/$I98</f>
        <v>4.1856957138818067E-3</v>
      </c>
      <c r="N98" s="1">
        <f>F98/$I98</f>
        <v>8.2525688993811074E-4</v>
      </c>
      <c r="O98" s="1"/>
    </row>
    <row r="99" spans="1:15" x14ac:dyDescent="0.2">
      <c r="A99">
        <v>21654</v>
      </c>
      <c r="B99">
        <v>5613.94</v>
      </c>
      <c r="C99" s="1">
        <v>3646810</v>
      </c>
      <c r="D99" s="1">
        <v>29258000</v>
      </c>
      <c r="E99">
        <v>178330</v>
      </c>
      <c r="F99">
        <v>31225.3</v>
      </c>
      <c r="I99" s="1">
        <f>SUM(B99:G99)</f>
        <v>33119979.240000002</v>
      </c>
      <c r="J99" s="1">
        <f>B99/$I99</f>
        <v>1.6950312557019584E-4</v>
      </c>
      <c r="K99" s="1">
        <f>C99/$I99</f>
        <v>0.11010906660218063</v>
      </c>
      <c r="L99" s="1">
        <f>D99/$I99</f>
        <v>0.88339427352853617</v>
      </c>
      <c r="M99" s="1">
        <f>E99/$I99</f>
        <v>5.3843632783629721E-3</v>
      </c>
      <c r="N99" s="1">
        <f>F99/$I99</f>
        <v>9.4279346535001019E-4</v>
      </c>
      <c r="O99" s="1"/>
    </row>
    <row r="100" spans="1:15" x14ac:dyDescent="0.2">
      <c r="A100">
        <v>22258</v>
      </c>
      <c r="B100">
        <v>10418.9</v>
      </c>
      <c r="C100" s="1">
        <v>3634110</v>
      </c>
      <c r="D100" s="1">
        <v>29356400</v>
      </c>
      <c r="E100">
        <v>188311</v>
      </c>
      <c r="F100">
        <v>6962.13</v>
      </c>
      <c r="I100" s="1">
        <f>SUM(B100:G100)</f>
        <v>33196202.029999997</v>
      </c>
      <c r="J100" s="1">
        <f>B100/$I100</f>
        <v>3.1385819349407062E-4</v>
      </c>
      <c r="K100" s="1">
        <f>C100/$I100</f>
        <v>0.10947366800321887</v>
      </c>
      <c r="L100" s="1">
        <f>D100/$I100</f>
        <v>0.88433008009380409</v>
      </c>
      <c r="M100" s="1">
        <f>E100/$I100</f>
        <v>5.6726670065997313E-3</v>
      </c>
      <c r="N100" s="1">
        <f>F100/$I100</f>
        <v>2.0972670288330574E-4</v>
      </c>
      <c r="O100" s="1"/>
    </row>
    <row r="101" spans="1:15" x14ac:dyDescent="0.2">
      <c r="A101">
        <v>22863</v>
      </c>
      <c r="B101">
        <v>20204.599999999999</v>
      </c>
      <c r="C101" s="1">
        <v>3658340</v>
      </c>
      <c r="D101" s="1">
        <v>29285000</v>
      </c>
      <c r="E101">
        <v>165992</v>
      </c>
      <c r="F101">
        <v>30060.1</v>
      </c>
      <c r="I101" s="1">
        <f>SUM(B101:G101)</f>
        <v>33159596.700000003</v>
      </c>
      <c r="J101" s="1">
        <f>B101/$I101</f>
        <v>6.093138038678256E-4</v>
      </c>
      <c r="K101" s="1">
        <f>C101/$I101</f>
        <v>0.11032522600010994</v>
      </c>
      <c r="L101" s="1">
        <f>D101/$I101</f>
        <v>0.88315308129184811</v>
      </c>
      <c r="M101" s="1">
        <f>E101/$I101</f>
        <v>5.0058509909440482E-3</v>
      </c>
      <c r="N101" s="1">
        <f>F101/$I101</f>
        <v>9.0652791323001815E-4</v>
      </c>
      <c r="O101" s="1"/>
    </row>
    <row r="102" spans="1:15" x14ac:dyDescent="0.2">
      <c r="A102">
        <v>23467</v>
      </c>
      <c r="B102">
        <v>70006.399999999994</v>
      </c>
      <c r="C102" s="1">
        <v>3655390</v>
      </c>
      <c r="D102" s="1">
        <v>29308200</v>
      </c>
      <c r="E102">
        <v>137140</v>
      </c>
      <c r="F102">
        <v>58210.2</v>
      </c>
      <c r="I102" s="1">
        <f>SUM(B102:G102)</f>
        <v>33228946.599999998</v>
      </c>
      <c r="J102" s="1">
        <f>B102/$I102</f>
        <v>2.1067896266082657E-3</v>
      </c>
      <c r="K102" s="1">
        <f>C102/$I102</f>
        <v>0.11000619562222295</v>
      </c>
      <c r="L102" s="1">
        <f>D102/$I102</f>
        <v>0.88200809832472993</v>
      </c>
      <c r="M102" s="1">
        <f>E102/$I102</f>
        <v>4.1271245113740683E-3</v>
      </c>
      <c r="N102" s="1">
        <f>F102/$I102</f>
        <v>1.7517919150648008E-3</v>
      </c>
      <c r="O102" s="1"/>
    </row>
    <row r="103" spans="1:15" x14ac:dyDescent="0.2">
      <c r="A103">
        <v>24071</v>
      </c>
      <c r="B103">
        <v>64687.3</v>
      </c>
      <c r="C103" s="1">
        <v>3633220</v>
      </c>
      <c r="D103" s="1">
        <v>29322500</v>
      </c>
      <c r="E103">
        <v>147878</v>
      </c>
      <c r="F103">
        <v>24489.7</v>
      </c>
      <c r="I103" s="1">
        <f>SUM(B103:G103)</f>
        <v>33192775</v>
      </c>
      <c r="J103" s="1">
        <f>B103/$I103</f>
        <v>1.9488367573967528E-3</v>
      </c>
      <c r="K103" s="1">
        <f>C103/$I103</f>
        <v>0.10945815768642422</v>
      </c>
      <c r="L103" s="1">
        <f>D103/$I103</f>
        <v>0.8834000772758529</v>
      </c>
      <c r="M103" s="1">
        <f>E103/$I103</f>
        <v>4.4551261532065336E-3</v>
      </c>
      <c r="N103" s="1">
        <f>F103/$I103</f>
        <v>7.3780212711953134E-4</v>
      </c>
      <c r="O103" s="1"/>
    </row>
    <row r="104" spans="1:15" x14ac:dyDescent="0.2">
      <c r="A104">
        <v>24676</v>
      </c>
      <c r="B104">
        <v>65690.600000000006</v>
      </c>
      <c r="C104" s="1">
        <v>3625130</v>
      </c>
      <c r="D104" s="1">
        <v>29226700</v>
      </c>
      <c r="E104">
        <v>156207</v>
      </c>
      <c r="F104">
        <v>37261.5</v>
      </c>
      <c r="I104" s="1">
        <f>SUM(B104:G104)</f>
        <v>33110989.100000001</v>
      </c>
      <c r="J104" s="1">
        <f>B104/$I104</f>
        <v>1.9839516059639547E-3</v>
      </c>
      <c r="K104" s="1">
        <f>C104/$I104</f>
        <v>0.10948419538454682</v>
      </c>
      <c r="L104" s="1">
        <f>D104/$I104</f>
        <v>0.88268882308925045</v>
      </c>
      <c r="M104" s="1">
        <f>E104/$I104</f>
        <v>4.7176784579956868E-3</v>
      </c>
      <c r="N104" s="1">
        <f>F104/$I104</f>
        <v>1.1253514622430894E-3</v>
      </c>
      <c r="O104" s="1"/>
    </row>
    <row r="105" spans="1:15" x14ac:dyDescent="0.2">
      <c r="A105">
        <v>25280</v>
      </c>
      <c r="B105">
        <v>17328.8</v>
      </c>
      <c r="C105" s="1">
        <v>3678330</v>
      </c>
      <c r="D105" s="1">
        <v>29070900</v>
      </c>
      <c r="E105">
        <v>146387</v>
      </c>
      <c r="F105">
        <v>65737.399999999994</v>
      </c>
      <c r="I105" s="1">
        <f>SUM(B105:G105)</f>
        <v>32978683.199999999</v>
      </c>
      <c r="J105" s="1">
        <f>B105/$I105</f>
        <v>5.2545457606384958E-4</v>
      </c>
      <c r="K105" s="1">
        <f>C105/$I105</f>
        <v>0.11153659403841813</v>
      </c>
      <c r="L105" s="1">
        <f>D105/$I105</f>
        <v>0.88150578431827742</v>
      </c>
      <c r="M105" s="1">
        <f>E105/$I105</f>
        <v>4.4388370242751237E-3</v>
      </c>
      <c r="N105" s="1">
        <f>F105/$I105</f>
        <v>1.9933300429654508E-3</v>
      </c>
      <c r="O105" s="1"/>
    </row>
    <row r="106" spans="1:15" x14ac:dyDescent="0.2">
      <c r="A106">
        <v>25885</v>
      </c>
      <c r="B106">
        <v>17778.599999999999</v>
      </c>
      <c r="C106" s="1">
        <v>3671100</v>
      </c>
      <c r="D106" s="1">
        <v>29123200</v>
      </c>
      <c r="E106">
        <v>159066</v>
      </c>
      <c r="F106">
        <v>19616</v>
      </c>
      <c r="I106" s="1">
        <f>SUM(B106:G106)</f>
        <v>32990760.600000001</v>
      </c>
      <c r="J106" s="1">
        <f>B106/$I106</f>
        <v>5.3889633572134121E-4</v>
      </c>
      <c r="K106" s="1">
        <f>C106/$I106</f>
        <v>0.1112766099730359</v>
      </c>
      <c r="L106" s="1">
        <f>D106/$I106</f>
        <v>0.88276837121481821</v>
      </c>
      <c r="M106" s="1">
        <f>E106/$I106</f>
        <v>4.8215317594102391E-3</v>
      </c>
      <c r="N106" s="1">
        <f>F106/$I106</f>
        <v>5.9459071701426609E-4</v>
      </c>
      <c r="O106" s="1"/>
    </row>
    <row r="107" spans="1:15" x14ac:dyDescent="0.2">
      <c r="A107">
        <v>26489</v>
      </c>
      <c r="B107">
        <v>56463.6</v>
      </c>
      <c r="C107" s="1">
        <v>3628760</v>
      </c>
      <c r="D107" s="1">
        <v>29042000</v>
      </c>
      <c r="E107">
        <v>136020</v>
      </c>
      <c r="F107">
        <v>18349.3</v>
      </c>
      <c r="I107" s="1">
        <f>SUM(B107:G107)</f>
        <v>32881592.900000002</v>
      </c>
      <c r="J107" s="1">
        <f>B107/$I107</f>
        <v>1.7171795834744976E-3</v>
      </c>
      <c r="K107" s="1">
        <f>C107/$I107</f>
        <v>0.11035840055060106</v>
      </c>
      <c r="L107" s="1">
        <f>D107/$I107</f>
        <v>0.8832297172561856</v>
      </c>
      <c r="M107" s="1">
        <f>E107/$I107</f>
        <v>4.1366609097578111E-3</v>
      </c>
      <c r="N107" s="1">
        <f>F107/$I107</f>
        <v>5.5804169998102486E-4</v>
      </c>
      <c r="O107" s="1"/>
    </row>
    <row r="108" spans="1:15" x14ac:dyDescent="0.2">
      <c r="A108">
        <v>27093</v>
      </c>
      <c r="B108">
        <v>56095.7</v>
      </c>
      <c r="C108" s="1">
        <v>3613390</v>
      </c>
      <c r="D108" s="1">
        <v>29218700</v>
      </c>
      <c r="E108">
        <v>200203</v>
      </c>
      <c r="F108">
        <v>33261.599999999999</v>
      </c>
      <c r="I108" s="1">
        <f>SUM(B108:G108)</f>
        <v>33121650.300000001</v>
      </c>
      <c r="J108" s="1">
        <f>B108/$I108</f>
        <v>1.6936263589498739E-3</v>
      </c>
      <c r="K108" s="1">
        <f>C108/$I108</f>
        <v>0.10909450366366558</v>
      </c>
      <c r="L108" s="1">
        <f>D108/$I108</f>
        <v>0.88216316926696126</v>
      </c>
      <c r="M108" s="1">
        <f>E108/$I108</f>
        <v>6.0444753865419561E-3</v>
      </c>
      <c r="N108" s="1">
        <f>F108/$I108</f>
        <v>1.0042253238812802E-3</v>
      </c>
      <c r="O108" s="1"/>
    </row>
    <row r="109" spans="1:15" x14ac:dyDescent="0.2">
      <c r="A109">
        <v>27697</v>
      </c>
      <c r="B109">
        <v>24774.400000000001</v>
      </c>
      <c r="C109" s="1">
        <v>3648870</v>
      </c>
      <c r="D109" s="1">
        <v>29208100</v>
      </c>
      <c r="E109">
        <v>156001</v>
      </c>
      <c r="F109">
        <v>18545.8</v>
      </c>
      <c r="I109" s="1">
        <f>SUM(B109:G109)</f>
        <v>33056291.199999999</v>
      </c>
      <c r="J109" s="1">
        <f>B109/$I109</f>
        <v>7.4946096796243132E-4</v>
      </c>
      <c r="K109" s="1">
        <f>C109/$I109</f>
        <v>0.11038352663108196</v>
      </c>
      <c r="L109" s="1">
        <f>D109/$I109</f>
        <v>0.88358672251773973</v>
      </c>
      <c r="M109" s="1">
        <f>E109/$I109</f>
        <v>4.7192529572101542E-3</v>
      </c>
      <c r="N109" s="1">
        <f>F109/$I109</f>
        <v>5.6103692600578247E-4</v>
      </c>
      <c r="O109" s="1"/>
    </row>
    <row r="110" spans="1:15" x14ac:dyDescent="0.2">
      <c r="A110">
        <v>28301</v>
      </c>
      <c r="B110">
        <v>69090.5</v>
      </c>
      <c r="C110" s="1">
        <v>3656800</v>
      </c>
      <c r="D110" s="1">
        <v>29061400</v>
      </c>
      <c r="E110">
        <v>130497</v>
      </c>
      <c r="F110">
        <v>29349.7</v>
      </c>
      <c r="I110" s="1">
        <f>SUM(B110:G110)</f>
        <v>32947137.199999999</v>
      </c>
      <c r="J110" s="1">
        <f>B110/$I110</f>
        <v>2.09701072298324E-3</v>
      </c>
      <c r="K110" s="1">
        <f>C110/$I110</f>
        <v>0.11098991629536785</v>
      </c>
      <c r="L110" s="1">
        <f>D110/$I110</f>
        <v>0.88206146177701894</v>
      </c>
      <c r="M110" s="1">
        <f>E110/$I110</f>
        <v>3.9607993619548837E-3</v>
      </c>
      <c r="N110" s="1">
        <f>F110/$I110</f>
        <v>8.9081184267505954E-4</v>
      </c>
      <c r="O110" s="1"/>
    </row>
    <row r="111" spans="1:15" x14ac:dyDescent="0.2">
      <c r="A111">
        <v>28905</v>
      </c>
      <c r="B111">
        <v>67684</v>
      </c>
      <c r="C111" s="1">
        <v>3597330</v>
      </c>
      <c r="D111" s="1">
        <v>29086400</v>
      </c>
      <c r="E111">
        <v>147177</v>
      </c>
      <c r="F111">
        <v>25898.7</v>
      </c>
      <c r="I111" s="1">
        <f>SUM(B111:G111)</f>
        <v>32924489.699999999</v>
      </c>
      <c r="J111" s="1">
        <f>B111/$I111</f>
        <v>2.0557342153734279E-3</v>
      </c>
      <c r="K111" s="1">
        <f>C111/$I111</f>
        <v>0.10926000775647557</v>
      </c>
      <c r="L111" s="1">
        <f>D111/$I111</f>
        <v>0.88342751140650178</v>
      </c>
      <c r="M111" s="1">
        <f>E111/$I111</f>
        <v>4.4701376191716652E-3</v>
      </c>
      <c r="N111" s="1">
        <f>F111/$I111</f>
        <v>7.8660900247756922E-4</v>
      </c>
      <c r="O111" s="1"/>
    </row>
    <row r="112" spans="1:15" x14ac:dyDescent="0.2">
      <c r="A112">
        <v>29509</v>
      </c>
      <c r="B112">
        <v>71775.100000000006</v>
      </c>
      <c r="C112" s="1">
        <v>3615930</v>
      </c>
      <c r="D112" s="1">
        <v>29089200</v>
      </c>
      <c r="E112">
        <v>205268</v>
      </c>
      <c r="F112">
        <v>25967.1</v>
      </c>
      <c r="I112" s="1">
        <f>SUM(B112:G112)</f>
        <v>33008140.200000003</v>
      </c>
      <c r="J112" s="1">
        <f>B112/$I112</f>
        <v>2.1744666486844355E-3</v>
      </c>
      <c r="K112" s="1">
        <f>C112/$I112</f>
        <v>0.10954661420154777</v>
      </c>
      <c r="L112" s="1">
        <f>D112/$I112</f>
        <v>0.88127352294753025</v>
      </c>
      <c r="M112" s="1">
        <f>E112/$I112</f>
        <v>6.2187084384717917E-3</v>
      </c>
      <c r="N112" s="1">
        <f>F112/$I112</f>
        <v>7.8668776376561791E-4</v>
      </c>
      <c r="O112" s="1"/>
    </row>
    <row r="113" spans="1:15" x14ac:dyDescent="0.2">
      <c r="A113">
        <v>30113</v>
      </c>
      <c r="B113">
        <v>52582.3</v>
      </c>
      <c r="C113" s="1">
        <v>3540060</v>
      </c>
      <c r="D113" s="1">
        <v>29192300</v>
      </c>
      <c r="E113">
        <v>180810</v>
      </c>
      <c r="F113">
        <v>29883.4</v>
      </c>
      <c r="I113" s="1">
        <f>SUM(B113:G113)</f>
        <v>32995635.699999999</v>
      </c>
      <c r="J113" s="1">
        <f>B113/$I113</f>
        <v>1.5936137881410785E-3</v>
      </c>
      <c r="K113" s="1">
        <f>C113/$I113</f>
        <v>0.10728873455224867</v>
      </c>
      <c r="L113" s="1">
        <f>D113/$I113</f>
        <v>0.88473215868364075</v>
      </c>
      <c r="M113" s="1">
        <f>E113/$I113</f>
        <v>5.4798156230098033E-3</v>
      </c>
      <c r="N113" s="1">
        <f>F113/$I113</f>
        <v>9.0567735295974316E-4</v>
      </c>
      <c r="O113" s="1"/>
    </row>
    <row r="114" spans="1:15" x14ac:dyDescent="0.2">
      <c r="A114">
        <v>30717</v>
      </c>
      <c r="B114">
        <v>65694.3</v>
      </c>
      <c r="C114" s="1">
        <v>3647030</v>
      </c>
      <c r="D114" s="1">
        <v>29142000</v>
      </c>
      <c r="E114">
        <v>148695</v>
      </c>
      <c r="F114">
        <v>36860.6</v>
      </c>
      <c r="I114" s="1">
        <f>SUM(B114:G114)</f>
        <v>33040279.900000002</v>
      </c>
      <c r="J114" s="1">
        <f>B114/$I114</f>
        <v>1.9883094271244354E-3</v>
      </c>
      <c r="K114" s="1">
        <f>C114/$I114</f>
        <v>0.11038132882161206</v>
      </c>
      <c r="L114" s="1">
        <f>D114/$I114</f>
        <v>0.88201431973946443</v>
      </c>
      <c r="M114" s="1">
        <f>E114/$I114</f>
        <v>4.5004158696609585E-3</v>
      </c>
      <c r="N114" s="1">
        <f>F114/$I114</f>
        <v>1.1156261421380997E-3</v>
      </c>
      <c r="O114" s="1"/>
    </row>
    <row r="115" spans="1:15" x14ac:dyDescent="0.2">
      <c r="A115">
        <v>31321</v>
      </c>
      <c r="B115">
        <v>72945.899999999994</v>
      </c>
      <c r="C115" s="1">
        <v>3603010</v>
      </c>
      <c r="D115" s="1">
        <v>29135500</v>
      </c>
      <c r="E115">
        <v>159508</v>
      </c>
      <c r="F115">
        <v>27693.3</v>
      </c>
      <c r="I115" s="1">
        <f>SUM(B115:G115)</f>
        <v>32998657.199999999</v>
      </c>
      <c r="J115" s="1">
        <f>B115/$I115</f>
        <v>2.2105717683566831E-3</v>
      </c>
      <c r="K115" s="1">
        <f>C115/$I115</f>
        <v>0.10918656411267547</v>
      </c>
      <c r="L115" s="1">
        <f>D115/$I115</f>
        <v>0.88292986661287542</v>
      </c>
      <c r="M115" s="1">
        <f>E115/$I115</f>
        <v>4.8337724481710125E-3</v>
      </c>
      <c r="N115" s="1">
        <f>F115/$I115</f>
        <v>8.3922505792144778E-4</v>
      </c>
      <c r="O115" s="1"/>
    </row>
    <row r="116" spans="1:15" x14ac:dyDescent="0.2">
      <c r="A116">
        <v>31926</v>
      </c>
      <c r="B116">
        <v>73039.100000000006</v>
      </c>
      <c r="C116" s="1">
        <v>3664030</v>
      </c>
      <c r="D116" s="1">
        <v>29202400</v>
      </c>
      <c r="E116">
        <v>171227</v>
      </c>
      <c r="F116">
        <v>27207.1</v>
      </c>
      <c r="I116" s="1">
        <f>SUM(B116:G116)</f>
        <v>33137903.200000003</v>
      </c>
      <c r="J116" s="1">
        <f>B116/$I116</f>
        <v>2.2040953997354909E-3</v>
      </c>
      <c r="K116" s="1">
        <f>C116/$I116</f>
        <v>0.11056915634903537</v>
      </c>
      <c r="L116" s="1">
        <f>D116/$I116</f>
        <v>0.88123861741499676</v>
      </c>
      <c r="M116" s="1">
        <f>E116/$I116</f>
        <v>5.1671042360942132E-3</v>
      </c>
      <c r="N116" s="1">
        <f>F116/$I116</f>
        <v>8.2102660013805566E-4</v>
      </c>
      <c r="O116" s="1"/>
    </row>
    <row r="117" spans="1:15" x14ac:dyDescent="0.2">
      <c r="A117">
        <v>32529</v>
      </c>
      <c r="B117">
        <v>76688.100000000006</v>
      </c>
      <c r="C117" s="1">
        <v>3651370</v>
      </c>
      <c r="D117" s="1">
        <v>29240400</v>
      </c>
      <c r="E117">
        <v>195881</v>
      </c>
      <c r="F117">
        <v>85621.8</v>
      </c>
      <c r="I117" s="1">
        <f>SUM(B117:G117)</f>
        <v>33249960.900000002</v>
      </c>
      <c r="J117" s="1">
        <f>B117/$I117</f>
        <v>2.3064117347578596E-3</v>
      </c>
      <c r="K117" s="1">
        <f>C117/$I117</f>
        <v>0.10981576823448234</v>
      </c>
      <c r="L117" s="1">
        <f>D117/$I117</f>
        <v>0.87941156045088753</v>
      </c>
      <c r="M117" s="1">
        <f>E117/$I117</f>
        <v>5.8911648223923174E-3</v>
      </c>
      <c r="N117" s="1">
        <f>F117/$I117</f>
        <v>2.5750947574798501E-3</v>
      </c>
      <c r="O117" s="1"/>
    </row>
    <row r="118" spans="1:15" x14ac:dyDescent="0.2">
      <c r="A118">
        <v>33134</v>
      </c>
      <c r="B118">
        <v>69693.600000000006</v>
      </c>
      <c r="C118" s="1">
        <v>3656120</v>
      </c>
      <c r="D118" s="1">
        <v>29170800</v>
      </c>
      <c r="E118">
        <v>160508</v>
      </c>
      <c r="F118">
        <v>30426.1</v>
      </c>
      <c r="I118" s="1">
        <f>SUM(B118:G118)</f>
        <v>33087547.700000003</v>
      </c>
      <c r="J118" s="1">
        <f>B118/$I118</f>
        <v>2.1063392377066374E-3</v>
      </c>
      <c r="K118" s="1">
        <f>C118/$I118</f>
        <v>0.11049836733593889</v>
      </c>
      <c r="L118" s="1">
        <f>D118/$I118</f>
        <v>0.88162472071026277</v>
      </c>
      <c r="M118" s="1">
        <f>E118/$I118</f>
        <v>4.8510092514350948E-3</v>
      </c>
      <c r="N118" s="1">
        <f>F118/$I118</f>
        <v>9.1956346465652385E-4</v>
      </c>
      <c r="O118" s="1"/>
    </row>
    <row r="119" spans="1:15" x14ac:dyDescent="0.2">
      <c r="A119">
        <v>33738</v>
      </c>
      <c r="B119">
        <v>27490.1</v>
      </c>
      <c r="C119" s="1">
        <v>3635130</v>
      </c>
      <c r="D119" s="1">
        <v>29153900</v>
      </c>
      <c r="E119">
        <v>194583</v>
      </c>
      <c r="F119">
        <v>55678.9</v>
      </c>
      <c r="I119" s="1">
        <f>SUM(B119:G119)</f>
        <v>33066782</v>
      </c>
      <c r="J119" s="1">
        <f>B119/$I119</f>
        <v>8.3135093097356735E-4</v>
      </c>
      <c r="K119" s="1">
        <f>C119/$I119</f>
        <v>0.1099329834998761</v>
      </c>
      <c r="L119" s="1">
        <f>D119/$I119</f>
        <v>0.88166728773304881</v>
      </c>
      <c r="M119" s="1">
        <f>E119/$I119</f>
        <v>5.8845460075310626E-3</v>
      </c>
      <c r="N119" s="1">
        <f>F119/$I119</f>
        <v>1.6838318285704367E-3</v>
      </c>
      <c r="O119" s="1"/>
    </row>
    <row r="120" spans="1:15" x14ac:dyDescent="0.2">
      <c r="A120">
        <v>34343</v>
      </c>
      <c r="B120">
        <v>88358.9</v>
      </c>
      <c r="C120" s="1">
        <v>3647240</v>
      </c>
      <c r="D120" s="1">
        <v>29148500</v>
      </c>
      <c r="E120">
        <v>173123</v>
      </c>
      <c r="F120">
        <v>27258.3</v>
      </c>
      <c r="I120" s="1">
        <f>SUM(B120:G120)</f>
        <v>33084480.199999999</v>
      </c>
      <c r="J120" s="1">
        <f>B120/$I120</f>
        <v>2.6707054022266307E-3</v>
      </c>
      <c r="K120" s="1">
        <f>C120/$I120</f>
        <v>0.1102402086401829</v>
      </c>
      <c r="L120" s="1">
        <f>D120/$I120</f>
        <v>0.88103243042639678</v>
      </c>
      <c r="M120" s="1">
        <f>E120/$I120</f>
        <v>5.2327556290275344E-3</v>
      </c>
      <c r="N120" s="1">
        <f>F120/$I120</f>
        <v>8.2389990216621262E-4</v>
      </c>
      <c r="O120" s="1"/>
    </row>
    <row r="121" spans="1:15" x14ac:dyDescent="0.2">
      <c r="A121">
        <v>34947</v>
      </c>
      <c r="B121">
        <v>60323.9</v>
      </c>
      <c r="C121" s="1">
        <v>3583550</v>
      </c>
      <c r="D121" s="1">
        <v>29370700</v>
      </c>
      <c r="E121">
        <v>304810</v>
      </c>
      <c r="F121">
        <v>27561.9</v>
      </c>
      <c r="I121" s="1">
        <f>SUM(B121:G121)</f>
        <v>33346945.799999997</v>
      </c>
      <c r="J121" s="1">
        <f>B121/$I121</f>
        <v>1.8089782603119236E-3</v>
      </c>
      <c r="K121" s="1">
        <f>C121/$I121</f>
        <v>0.10746261506203666</v>
      </c>
      <c r="L121" s="1">
        <f>D121/$I121</f>
        <v>0.88076131997671592</v>
      </c>
      <c r="M121" s="1">
        <f>E121/$I121</f>
        <v>9.1405672299980176E-3</v>
      </c>
      <c r="N121" s="1">
        <f>F121/$I121</f>
        <v>8.2651947093757545E-4</v>
      </c>
      <c r="O121" s="1"/>
    </row>
    <row r="122" spans="1:15" x14ac:dyDescent="0.2">
      <c r="A122">
        <v>35552</v>
      </c>
      <c r="B122">
        <v>37470.1</v>
      </c>
      <c r="C122" s="1">
        <v>3652000</v>
      </c>
      <c r="D122" s="1">
        <v>28945500</v>
      </c>
      <c r="E122">
        <v>161180</v>
      </c>
      <c r="F122">
        <v>32285.1</v>
      </c>
      <c r="I122" s="1">
        <f>SUM(B122:G122)</f>
        <v>32828435.200000003</v>
      </c>
      <c r="J122" s="1">
        <f>B122/$I122</f>
        <v>1.1413915945649457E-3</v>
      </c>
      <c r="K122" s="1">
        <f>C122/$I122</f>
        <v>0.11124502212033548</v>
      </c>
      <c r="L122" s="1">
        <f>D122/$I122</f>
        <v>0.88172036905371587</v>
      </c>
      <c r="M122" s="1">
        <f>E122/$I122</f>
        <v>4.9097679806559885E-3</v>
      </c>
      <c r="N122" s="1">
        <f>F122/$I122</f>
        <v>9.8344925072761289E-4</v>
      </c>
      <c r="O122" s="1"/>
    </row>
    <row r="123" spans="1:15" x14ac:dyDescent="0.2">
      <c r="A123">
        <v>36156</v>
      </c>
      <c r="B123">
        <v>81858.399999999994</v>
      </c>
      <c r="C123" s="1">
        <v>3634510</v>
      </c>
      <c r="D123" s="1">
        <v>29184900</v>
      </c>
      <c r="E123">
        <v>183195</v>
      </c>
      <c r="F123">
        <v>49641.7</v>
      </c>
      <c r="I123" s="1">
        <f>SUM(B123:G123)</f>
        <v>33134105.099999998</v>
      </c>
      <c r="J123" s="1">
        <f>B123/$I123</f>
        <v>2.4705179075441516E-3</v>
      </c>
      <c r="K123" s="1">
        <f>C123/$I123</f>
        <v>0.10969090576102507</v>
      </c>
      <c r="L123" s="1">
        <f>D123/$I123</f>
        <v>0.88081147542445626</v>
      </c>
      <c r="M123" s="1">
        <f>E123/$I123</f>
        <v>5.5288953616556254E-3</v>
      </c>
      <c r="N123" s="1">
        <f>F123/$I123</f>
        <v>1.4982055453189227E-3</v>
      </c>
      <c r="O123" s="1"/>
    </row>
    <row r="124" spans="1:15" x14ac:dyDescent="0.2">
      <c r="A124">
        <v>36760</v>
      </c>
      <c r="B124">
        <v>74076.2</v>
      </c>
      <c r="C124" s="1">
        <v>3551100</v>
      </c>
      <c r="D124" s="1">
        <v>29022100</v>
      </c>
      <c r="E124">
        <v>149929</v>
      </c>
      <c r="F124">
        <v>34387</v>
      </c>
      <c r="I124" s="1">
        <f>SUM(B124:G124)</f>
        <v>32831592.199999999</v>
      </c>
      <c r="J124" s="1">
        <f>B124/$I124</f>
        <v>2.2562475663303345E-3</v>
      </c>
      <c r="K124" s="1">
        <f>C124/$I124</f>
        <v>0.10816106567015657</v>
      </c>
      <c r="L124" s="1">
        <f>D124/$I124</f>
        <v>0.88396870377794234</v>
      </c>
      <c r="M124" s="1">
        <f>E124/$I124</f>
        <v>4.5666076468871344E-3</v>
      </c>
      <c r="N124" s="1">
        <f>F124/$I124</f>
        <v>1.0473753386836962E-3</v>
      </c>
      <c r="O124" s="1"/>
    </row>
    <row r="127" spans="1:15" x14ac:dyDescent="0.2">
      <c r="A127" t="s">
        <v>0</v>
      </c>
      <c r="B127" t="s">
        <v>26</v>
      </c>
    </row>
    <row r="128" spans="1:15" x14ac:dyDescent="0.2">
      <c r="A128">
        <v>1112</v>
      </c>
      <c r="B128" s="1">
        <v>950816000</v>
      </c>
    </row>
    <row r="129" spans="1:2" x14ac:dyDescent="0.2">
      <c r="A129">
        <v>1716</v>
      </c>
      <c r="B129" s="1">
        <v>828363000</v>
      </c>
    </row>
    <row r="130" spans="1:2" x14ac:dyDescent="0.2">
      <c r="A130">
        <v>2322</v>
      </c>
      <c r="B130" s="1">
        <v>713274000</v>
      </c>
    </row>
    <row r="131" spans="1:2" x14ac:dyDescent="0.2">
      <c r="A131">
        <v>2925</v>
      </c>
      <c r="B131" s="1">
        <v>246350000</v>
      </c>
    </row>
    <row r="132" spans="1:2" x14ac:dyDescent="0.2">
      <c r="A132">
        <v>3530</v>
      </c>
      <c r="B132" s="1">
        <v>215738000</v>
      </c>
    </row>
    <row r="133" spans="1:2" x14ac:dyDescent="0.2">
      <c r="A133">
        <v>4133</v>
      </c>
      <c r="B133" s="1">
        <v>187921000</v>
      </c>
    </row>
    <row r="134" spans="1:2" x14ac:dyDescent="0.2">
      <c r="A134">
        <v>4737</v>
      </c>
      <c r="B134" s="1">
        <v>164031000</v>
      </c>
    </row>
    <row r="135" spans="1:2" x14ac:dyDescent="0.2">
      <c r="A135">
        <v>5341</v>
      </c>
      <c r="B135" s="1">
        <v>359685000</v>
      </c>
    </row>
    <row r="136" spans="1:2" x14ac:dyDescent="0.2">
      <c r="A136">
        <v>5945</v>
      </c>
      <c r="B136" s="1">
        <v>120816000</v>
      </c>
    </row>
    <row r="137" spans="1:2" x14ac:dyDescent="0.2">
      <c r="A137">
        <v>6549</v>
      </c>
      <c r="B137" s="1">
        <v>109595000</v>
      </c>
    </row>
    <row r="138" spans="1:2" x14ac:dyDescent="0.2">
      <c r="A138">
        <v>7153</v>
      </c>
      <c r="B138" s="1">
        <v>96002100</v>
      </c>
    </row>
    <row r="139" spans="1:2" x14ac:dyDescent="0.2">
      <c r="A139">
        <v>7757</v>
      </c>
      <c r="B139" s="1">
        <v>84129000</v>
      </c>
    </row>
    <row r="140" spans="1:2" x14ac:dyDescent="0.2">
      <c r="A140">
        <v>8361</v>
      </c>
      <c r="B140" s="1">
        <v>73992800</v>
      </c>
    </row>
    <row r="141" spans="1:2" x14ac:dyDescent="0.2">
      <c r="A141">
        <v>8966</v>
      </c>
      <c r="B141" s="1">
        <v>64837300</v>
      </c>
    </row>
    <row r="142" spans="1:2" x14ac:dyDescent="0.2">
      <c r="A142">
        <v>9570</v>
      </c>
      <c r="B142" s="1">
        <v>56825000</v>
      </c>
    </row>
    <row r="143" spans="1:2" x14ac:dyDescent="0.2">
      <c r="A143">
        <v>10175</v>
      </c>
      <c r="B143" s="1">
        <v>50202400</v>
      </c>
    </row>
    <row r="144" spans="1:2" x14ac:dyDescent="0.2">
      <c r="A144">
        <v>10778</v>
      </c>
      <c r="B144" s="1">
        <v>44414500</v>
      </c>
    </row>
    <row r="145" spans="1:2" x14ac:dyDescent="0.2">
      <c r="A145">
        <v>11384</v>
      </c>
      <c r="B145" s="1">
        <v>38817200</v>
      </c>
    </row>
    <row r="146" spans="1:2" x14ac:dyDescent="0.2">
      <c r="A146">
        <v>11988</v>
      </c>
      <c r="B146" s="1">
        <v>34739200</v>
      </c>
    </row>
    <row r="147" spans="1:2" x14ac:dyDescent="0.2">
      <c r="A147">
        <v>12592</v>
      </c>
      <c r="B147" s="1">
        <v>30538000</v>
      </c>
    </row>
    <row r="148" spans="1:2" x14ac:dyDescent="0.2">
      <c r="A148">
        <v>13196</v>
      </c>
      <c r="B148" s="1">
        <v>27563600</v>
      </c>
    </row>
    <row r="149" spans="1:2" x14ac:dyDescent="0.2">
      <c r="A149">
        <v>13800</v>
      </c>
      <c r="B149" s="1">
        <v>24727100</v>
      </c>
    </row>
    <row r="150" spans="1:2" x14ac:dyDescent="0.2">
      <c r="A150">
        <v>14404</v>
      </c>
      <c r="B150" s="1">
        <v>21873500</v>
      </c>
    </row>
    <row r="151" spans="1:2" x14ac:dyDescent="0.2">
      <c r="A151">
        <v>15008</v>
      </c>
      <c r="B151" s="1">
        <v>19473800</v>
      </c>
    </row>
    <row r="152" spans="1:2" x14ac:dyDescent="0.2">
      <c r="A152">
        <v>15612</v>
      </c>
      <c r="B152" s="1">
        <v>17588200</v>
      </c>
    </row>
    <row r="153" spans="1:2" x14ac:dyDescent="0.2">
      <c r="A153">
        <v>16216</v>
      </c>
      <c r="B153" s="1">
        <v>15965300</v>
      </c>
    </row>
    <row r="154" spans="1:2" x14ac:dyDescent="0.2">
      <c r="A154">
        <v>16820</v>
      </c>
      <c r="B154" s="1">
        <v>14118000</v>
      </c>
    </row>
    <row r="155" spans="1:2" x14ac:dyDescent="0.2">
      <c r="A155">
        <v>17425</v>
      </c>
      <c r="B155" s="1">
        <v>13291500</v>
      </c>
    </row>
    <row r="156" spans="1:2" x14ac:dyDescent="0.2">
      <c r="A156">
        <v>18029</v>
      </c>
      <c r="B156" s="1">
        <v>12251500</v>
      </c>
    </row>
    <row r="157" spans="1:2" x14ac:dyDescent="0.2">
      <c r="A157">
        <v>18633</v>
      </c>
      <c r="B157" s="1">
        <v>10673600</v>
      </c>
    </row>
    <row r="158" spans="1:2" x14ac:dyDescent="0.2">
      <c r="A158">
        <v>19237</v>
      </c>
      <c r="B158" s="1">
        <v>10464000</v>
      </c>
    </row>
    <row r="159" spans="1:2" x14ac:dyDescent="0.2">
      <c r="A159">
        <v>19841</v>
      </c>
      <c r="B159" s="1">
        <v>9345500</v>
      </c>
    </row>
    <row r="160" spans="1:2" x14ac:dyDescent="0.2">
      <c r="A160">
        <v>20445</v>
      </c>
      <c r="B160" s="1">
        <v>8756940</v>
      </c>
    </row>
    <row r="161" spans="1:2" x14ac:dyDescent="0.2">
      <c r="A161">
        <v>21050</v>
      </c>
      <c r="B161" s="1">
        <v>8364640</v>
      </c>
    </row>
    <row r="162" spans="1:2" x14ac:dyDescent="0.2">
      <c r="A162">
        <v>21654</v>
      </c>
      <c r="B162" s="1">
        <v>8070010</v>
      </c>
    </row>
    <row r="163" spans="1:2" x14ac:dyDescent="0.2">
      <c r="A163">
        <v>22258</v>
      </c>
      <c r="B163" s="1">
        <v>7404280</v>
      </c>
    </row>
    <row r="164" spans="1:2" x14ac:dyDescent="0.2">
      <c r="A164">
        <v>22863</v>
      </c>
      <c r="B164" s="1">
        <v>7054100</v>
      </c>
    </row>
    <row r="165" spans="1:2" x14ac:dyDescent="0.2">
      <c r="A165">
        <v>23467</v>
      </c>
      <c r="B165" s="1">
        <v>6650710</v>
      </c>
    </row>
    <row r="166" spans="1:2" x14ac:dyDescent="0.2">
      <c r="A166">
        <v>24071</v>
      </c>
      <c r="B166" s="1">
        <v>6392290</v>
      </c>
    </row>
    <row r="167" spans="1:2" x14ac:dyDescent="0.2">
      <c r="A167">
        <v>24676</v>
      </c>
      <c r="B167" s="1">
        <v>6177530</v>
      </c>
    </row>
    <row r="168" spans="1:2" x14ac:dyDescent="0.2">
      <c r="A168">
        <v>25280</v>
      </c>
      <c r="B168" s="1">
        <v>7039800</v>
      </c>
    </row>
    <row r="169" spans="1:2" x14ac:dyDescent="0.2">
      <c r="A169">
        <v>25885</v>
      </c>
      <c r="B169" s="1">
        <v>5624770</v>
      </c>
    </row>
    <row r="170" spans="1:2" x14ac:dyDescent="0.2">
      <c r="A170">
        <v>26489</v>
      </c>
      <c r="B170" s="1">
        <v>5619200</v>
      </c>
    </row>
    <row r="171" spans="1:2" x14ac:dyDescent="0.2">
      <c r="A171">
        <v>27093</v>
      </c>
      <c r="B171" s="1">
        <v>5388190</v>
      </c>
    </row>
    <row r="172" spans="1:2" x14ac:dyDescent="0.2">
      <c r="A172">
        <v>27697</v>
      </c>
      <c r="B172" s="1">
        <v>5297020</v>
      </c>
    </row>
    <row r="173" spans="1:2" x14ac:dyDescent="0.2">
      <c r="A173">
        <v>28301</v>
      </c>
      <c r="B173" s="1">
        <v>5320420</v>
      </c>
    </row>
    <row r="174" spans="1:2" x14ac:dyDescent="0.2">
      <c r="A174">
        <v>28905</v>
      </c>
      <c r="B174" s="1">
        <v>5152360</v>
      </c>
    </row>
    <row r="175" spans="1:2" x14ac:dyDescent="0.2">
      <c r="A175">
        <v>29509</v>
      </c>
      <c r="B175" s="1">
        <v>5078340</v>
      </c>
    </row>
    <row r="176" spans="1:2" x14ac:dyDescent="0.2">
      <c r="A176">
        <v>30113</v>
      </c>
      <c r="B176" s="1">
        <v>5545540</v>
      </c>
    </row>
    <row r="177" spans="1:2" x14ac:dyDescent="0.2">
      <c r="A177">
        <v>30717</v>
      </c>
      <c r="B177" s="1">
        <v>4930910</v>
      </c>
    </row>
    <row r="178" spans="1:2" x14ac:dyDescent="0.2">
      <c r="A178">
        <v>31321</v>
      </c>
      <c r="B178" s="1">
        <v>5077820</v>
      </c>
    </row>
    <row r="179" spans="1:2" x14ac:dyDescent="0.2">
      <c r="A179">
        <v>31926</v>
      </c>
      <c r="B179" s="1">
        <v>5055440</v>
      </c>
    </row>
    <row r="180" spans="1:2" x14ac:dyDescent="0.2">
      <c r="A180">
        <v>32529</v>
      </c>
      <c r="B180" s="1">
        <v>5358520</v>
      </c>
    </row>
    <row r="181" spans="1:2" x14ac:dyDescent="0.2">
      <c r="A181">
        <v>33134</v>
      </c>
      <c r="B181" s="1">
        <v>5264500</v>
      </c>
    </row>
    <row r="182" spans="1:2" x14ac:dyDescent="0.2">
      <c r="A182">
        <v>33738</v>
      </c>
      <c r="B182" s="1">
        <v>4979340</v>
      </c>
    </row>
    <row r="183" spans="1:2" x14ac:dyDescent="0.2">
      <c r="A183">
        <v>34343</v>
      </c>
      <c r="B183" s="1">
        <v>4558020</v>
      </c>
    </row>
    <row r="184" spans="1:2" x14ac:dyDescent="0.2">
      <c r="A184">
        <v>34947</v>
      </c>
      <c r="B184" s="1">
        <v>4614120</v>
      </c>
    </row>
    <row r="185" spans="1:2" x14ac:dyDescent="0.2">
      <c r="A185">
        <v>35552</v>
      </c>
      <c r="B185" s="1">
        <v>4362640</v>
      </c>
    </row>
    <row r="186" spans="1:2" x14ac:dyDescent="0.2">
      <c r="A186">
        <v>36156</v>
      </c>
      <c r="B186" s="1">
        <v>4619740</v>
      </c>
    </row>
    <row r="187" spans="1:2" x14ac:dyDescent="0.2">
      <c r="A187">
        <v>36760</v>
      </c>
      <c r="B187" s="1">
        <v>4752300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679B-AE82-0A48-A48B-380C53DD8FC5}">
  <dimension ref="A1:N67"/>
  <sheetViews>
    <sheetView workbookViewId="0">
      <selection activeCell="F50" sqref="F50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t="s">
        <v>1</v>
      </c>
      <c r="K1" t="s">
        <v>2</v>
      </c>
      <c r="L1" t="s">
        <v>3</v>
      </c>
      <c r="M1" t="s">
        <v>4</v>
      </c>
      <c r="N1" t="s">
        <v>5</v>
      </c>
    </row>
    <row r="2" spans="1:14" x14ac:dyDescent="0.2">
      <c r="A2">
        <v>1584</v>
      </c>
      <c r="B2">
        <v>713745</v>
      </c>
      <c r="C2">
        <v>6509.05</v>
      </c>
      <c r="D2">
        <v>50056.4</v>
      </c>
      <c r="E2" s="1">
        <v>11181600</v>
      </c>
      <c r="F2">
        <v>57871.5</v>
      </c>
      <c r="I2">
        <f>SUM(B2:H2)</f>
        <v>12009781.949999999</v>
      </c>
      <c r="J2">
        <f>B2/$I2</f>
        <v>5.9430304644290402E-2</v>
      </c>
      <c r="K2">
        <f>C2/$I2</f>
        <v>5.4197903235037503E-4</v>
      </c>
      <c r="L2">
        <f>D2/$I2</f>
        <v>4.1679690945596228E-3</v>
      </c>
      <c r="M2">
        <f>E2/$I2</f>
        <v>0.93104105024987571</v>
      </c>
      <c r="N2">
        <f>F2/$I2</f>
        <v>4.8186969789239184E-3</v>
      </c>
    </row>
    <row r="3" spans="1:14" x14ac:dyDescent="0.2">
      <c r="A3">
        <v>1889</v>
      </c>
      <c r="B3">
        <v>792498</v>
      </c>
      <c r="C3">
        <v>612.02499999999998</v>
      </c>
      <c r="D3">
        <v>48673.3</v>
      </c>
      <c r="E3" s="1">
        <v>11049800</v>
      </c>
      <c r="F3">
        <v>54543.1</v>
      </c>
      <c r="I3">
        <f>SUM(B3:H3)</f>
        <v>11946126.424999999</v>
      </c>
      <c r="J3">
        <f>B3/$I3</f>
        <v>6.6339328063824685E-2</v>
      </c>
      <c r="K3">
        <f>C3/$I3</f>
        <v>5.1232087977840067E-5</v>
      </c>
      <c r="L3">
        <f>D3/$I3</f>
        <v>4.0744002087689281E-3</v>
      </c>
      <c r="M3">
        <f>E3/$I3</f>
        <v>0.92496928350563656</v>
      </c>
      <c r="N3">
        <f>F3/$I3</f>
        <v>4.56575613379213E-3</v>
      </c>
    </row>
    <row r="4" spans="1:14" x14ac:dyDescent="0.2">
      <c r="A4">
        <v>2194</v>
      </c>
      <c r="B4">
        <v>879052</v>
      </c>
      <c r="C4">
        <v>-15814.9</v>
      </c>
      <c r="D4">
        <v>49385.9</v>
      </c>
      <c r="E4" s="1">
        <v>10902800</v>
      </c>
      <c r="F4">
        <v>53410.5</v>
      </c>
      <c r="I4">
        <f>SUM(B4:H4)</f>
        <v>11868833.5</v>
      </c>
      <c r="J4">
        <f>B4/$I4</f>
        <v>7.4063891788523281E-2</v>
      </c>
      <c r="K4">
        <f>C4/$I4</f>
        <v>-1.3324729848135455E-3</v>
      </c>
      <c r="L4">
        <f>D4/$I4</f>
        <v>4.160973359344876E-3</v>
      </c>
      <c r="M4">
        <f>E4/$I4</f>
        <v>0.9186075447094274</v>
      </c>
      <c r="N4">
        <f>F4/$I4</f>
        <v>4.5000631275179653E-3</v>
      </c>
    </row>
    <row r="5" spans="1:14" x14ac:dyDescent="0.2">
      <c r="A5">
        <v>2498</v>
      </c>
      <c r="B5">
        <v>927570</v>
      </c>
      <c r="C5">
        <v>-2349.2600000000002</v>
      </c>
      <c r="D5">
        <v>41875.800000000003</v>
      </c>
      <c r="E5" s="1">
        <v>10785500</v>
      </c>
      <c r="F5">
        <v>39605.599999999999</v>
      </c>
      <c r="I5">
        <f>SUM(B5:H5)</f>
        <v>11792202.139999999</v>
      </c>
      <c r="J5">
        <f>B5/$I5</f>
        <v>7.8659608187483132E-2</v>
      </c>
      <c r="K5">
        <f>C5/$I5</f>
        <v>-1.9922148315547792E-4</v>
      </c>
      <c r="L5">
        <f>D5/$I5</f>
        <v>3.5511433320799578E-3</v>
      </c>
      <c r="M5">
        <f>E5/$I5</f>
        <v>0.91462984368414169</v>
      </c>
      <c r="N5">
        <f>F5/$I5</f>
        <v>3.3586262794508036E-3</v>
      </c>
    </row>
    <row r="6" spans="1:14" x14ac:dyDescent="0.2">
      <c r="A6">
        <v>2802</v>
      </c>
      <c r="B6">
        <v>970708</v>
      </c>
      <c r="C6">
        <v>-2405.14</v>
      </c>
      <c r="D6">
        <v>40743.9</v>
      </c>
      <c r="E6" s="1">
        <v>10709600</v>
      </c>
      <c r="F6">
        <v>44790.2</v>
      </c>
      <c r="I6">
        <f>SUM(B6:H6)</f>
        <v>11763436.959999999</v>
      </c>
      <c r="J6">
        <f>B6/$I6</f>
        <v>8.2519080375978826E-2</v>
      </c>
      <c r="K6">
        <f>C6/$I6</f>
        <v>-2.0445895261549479E-4</v>
      </c>
      <c r="L6">
        <f>D6/$I6</f>
        <v>3.4636050789020427E-3</v>
      </c>
      <c r="M6">
        <f>E6/$I6</f>
        <v>0.91041419581849836</v>
      </c>
      <c r="N6">
        <f>F6/$I6</f>
        <v>3.8075776792363581E-3</v>
      </c>
    </row>
    <row r="7" spans="1:14" x14ac:dyDescent="0.2">
      <c r="A7">
        <v>3107</v>
      </c>
      <c r="B7" s="1">
        <v>1011790</v>
      </c>
      <c r="C7">
        <v>-5338.82</v>
      </c>
      <c r="D7">
        <v>35203.1</v>
      </c>
      <c r="E7" s="1">
        <v>10674200</v>
      </c>
      <c r="F7">
        <v>47116.800000000003</v>
      </c>
      <c r="I7">
        <f>SUM(B7:H7)</f>
        <v>11762971.08</v>
      </c>
      <c r="J7">
        <f>B7/$I7</f>
        <v>8.6014833592534853E-2</v>
      </c>
      <c r="K7">
        <f>C7/$I7</f>
        <v>-4.5386662635576248E-4</v>
      </c>
      <c r="L7">
        <f>D7/$I7</f>
        <v>2.9927047988627716E-3</v>
      </c>
      <c r="M7">
        <f>E7/$I7</f>
        <v>0.90744080958838846</v>
      </c>
      <c r="N7">
        <f>F7/$I7</f>
        <v>4.0055186465696897E-3</v>
      </c>
    </row>
    <row r="8" spans="1:14" x14ac:dyDescent="0.2">
      <c r="A8">
        <v>3411</v>
      </c>
      <c r="B8" s="1">
        <v>1035620</v>
      </c>
      <c r="C8">
        <v>2191.1999999999998</v>
      </c>
      <c r="D8">
        <v>39405.199999999997</v>
      </c>
      <c r="E8" s="1">
        <v>10618200</v>
      </c>
      <c r="F8">
        <v>47684.4</v>
      </c>
      <c r="I8">
        <f>SUM(B8:H8)</f>
        <v>11743100.800000001</v>
      </c>
      <c r="J8">
        <f>B8/$I8</f>
        <v>8.8189654303231391E-2</v>
      </c>
      <c r="K8">
        <f>C8/$I8</f>
        <v>1.8659466842011607E-4</v>
      </c>
      <c r="L8">
        <f>D8/$I8</f>
        <v>3.3556043391878231E-3</v>
      </c>
      <c r="M8">
        <f>E8/$I8</f>
        <v>0.90420751561631829</v>
      </c>
      <c r="N8">
        <f>F8/$I8</f>
        <v>4.0606310728423618E-3</v>
      </c>
    </row>
    <row r="9" spans="1:14" x14ac:dyDescent="0.2">
      <c r="A9">
        <v>3715</v>
      </c>
      <c r="B9" s="1">
        <v>1072400</v>
      </c>
      <c r="C9">
        <v>-238.81899999999999</v>
      </c>
      <c r="D9">
        <v>36696.199999999997</v>
      </c>
      <c r="E9" s="1">
        <v>10581200</v>
      </c>
      <c r="F9">
        <v>50010.9</v>
      </c>
      <c r="I9">
        <f>SUM(B9:H9)</f>
        <v>11740068.281000001</v>
      </c>
      <c r="J9">
        <f>B9/$I9</f>
        <v>9.1345294961832593E-2</v>
      </c>
      <c r="K9">
        <f>C9/$I9</f>
        <v>-2.0342215588856672E-5</v>
      </c>
      <c r="L9">
        <f>D9/$I9</f>
        <v>3.1257228767049617E-3</v>
      </c>
      <c r="M9">
        <f>E9/$I9</f>
        <v>0.90128947692105832</v>
      </c>
      <c r="N9">
        <f>F9/$I9</f>
        <v>4.2598474559928327E-3</v>
      </c>
    </row>
    <row r="10" spans="1:14" x14ac:dyDescent="0.2">
      <c r="A10">
        <v>4019</v>
      </c>
      <c r="B10" s="1">
        <v>1080650</v>
      </c>
      <c r="C10">
        <v>1079.1099999999999</v>
      </c>
      <c r="D10">
        <v>42740.5</v>
      </c>
      <c r="E10" s="1">
        <v>10524700</v>
      </c>
      <c r="F10">
        <v>47568.6</v>
      </c>
      <c r="I10">
        <f>SUM(B10:H10)</f>
        <v>11696738.209999999</v>
      </c>
      <c r="J10">
        <f>B10/$I10</f>
        <v>9.2389004575319136E-2</v>
      </c>
      <c r="K10">
        <f>C10/$I10</f>
        <v>9.2257343938622694E-5</v>
      </c>
      <c r="L10">
        <f>D10/$I10</f>
        <v>3.6540528848854185E-3</v>
      </c>
      <c r="M10">
        <f>E10/$I10</f>
        <v>0.89979785911614418</v>
      </c>
      <c r="N10">
        <f>F10/$I10</f>
        <v>4.0668260797126965E-3</v>
      </c>
    </row>
    <row r="11" spans="1:14" x14ac:dyDescent="0.2">
      <c r="A11">
        <v>4323</v>
      </c>
      <c r="B11" s="1">
        <v>1107810</v>
      </c>
      <c r="C11">
        <v>2040.45</v>
      </c>
      <c r="D11">
        <v>43499.1</v>
      </c>
      <c r="E11" s="1">
        <v>10479300</v>
      </c>
      <c r="F11">
        <v>41696</v>
      </c>
      <c r="I11">
        <f>SUM(B11:H11)</f>
        <v>11674345.550000001</v>
      </c>
      <c r="J11">
        <f>B11/$I11</f>
        <v>9.4892685440512756E-2</v>
      </c>
      <c r="K11">
        <f>C11/$I11</f>
        <v>1.7478067539297736E-4</v>
      </c>
      <c r="L11">
        <f>D11/$I11</f>
        <v>3.7260418422341451E-3</v>
      </c>
      <c r="M11">
        <f>E11/$I11</f>
        <v>0.8976348999709024</v>
      </c>
      <c r="N11">
        <f>F11/$I11</f>
        <v>3.5715920709576735E-3</v>
      </c>
    </row>
    <row r="12" spans="1:14" x14ac:dyDescent="0.2">
      <c r="A12">
        <v>4627</v>
      </c>
      <c r="B12" s="1">
        <v>1136750</v>
      </c>
      <c r="C12">
        <v>6715.05</v>
      </c>
      <c r="D12">
        <v>43020.4</v>
      </c>
      <c r="E12" s="1">
        <v>10437500</v>
      </c>
      <c r="F12">
        <v>36710.9</v>
      </c>
      <c r="I12">
        <f>SUM(B12:H12)</f>
        <v>11660696.35</v>
      </c>
      <c r="J12">
        <f>B12/$I12</f>
        <v>9.7485601706796876E-2</v>
      </c>
      <c r="K12">
        <f>C12/$I12</f>
        <v>5.7587041103252814E-4</v>
      </c>
      <c r="L12">
        <f>D12/$I12</f>
        <v>3.6893508508177562E-3</v>
      </c>
      <c r="M12">
        <f>E12/$I12</f>
        <v>0.89510091736502517</v>
      </c>
      <c r="N12">
        <f>F12/$I12</f>
        <v>3.1482596663277322E-3</v>
      </c>
    </row>
    <row r="13" spans="1:14" x14ac:dyDescent="0.2">
      <c r="A13">
        <v>4933</v>
      </c>
      <c r="B13" s="1">
        <v>1148900</v>
      </c>
      <c r="C13">
        <v>199.40199999999999</v>
      </c>
      <c r="D13">
        <v>41046.9</v>
      </c>
      <c r="E13" s="1">
        <v>10424400</v>
      </c>
      <c r="F13">
        <v>42480.7</v>
      </c>
      <c r="I13">
        <f>SUM(B13:H13)</f>
        <v>11657027.001999998</v>
      </c>
      <c r="J13">
        <f>B13/$I13</f>
        <v>9.8558577568953296E-2</v>
      </c>
      <c r="K13">
        <f>C13/$I13</f>
        <v>1.7105733731747258E-5</v>
      </c>
      <c r="L13">
        <f>D13/$I13</f>
        <v>3.5212151428453907E-3</v>
      </c>
      <c r="M13">
        <f>E13/$I13</f>
        <v>0.8942588876401748</v>
      </c>
      <c r="N13">
        <f>F13/$I13</f>
        <v>3.6442139142949205E-3</v>
      </c>
    </row>
    <row r="14" spans="1:14" x14ac:dyDescent="0.2">
      <c r="A14">
        <v>5238</v>
      </c>
      <c r="B14" s="1">
        <v>1161580</v>
      </c>
      <c r="C14">
        <v>5477.36</v>
      </c>
      <c r="D14">
        <v>41200.1</v>
      </c>
      <c r="E14" s="1">
        <v>10433500</v>
      </c>
      <c r="F14">
        <v>40367.9</v>
      </c>
      <c r="I14">
        <f>SUM(B14:H14)</f>
        <v>11682125.360000001</v>
      </c>
      <c r="J14">
        <f>B14/$I14</f>
        <v>9.9432249201612741E-2</v>
      </c>
      <c r="K14">
        <f>C14/$I14</f>
        <v>4.6886673710544734E-4</v>
      </c>
      <c r="L14">
        <f>D14/$I14</f>
        <v>3.5267640716363613E-3</v>
      </c>
      <c r="M14">
        <f>E14/$I14</f>
        <v>0.89311659295530788</v>
      </c>
      <c r="N14">
        <f>F14/$I14</f>
        <v>3.4555270343375253E-3</v>
      </c>
    </row>
    <row r="15" spans="1:14" x14ac:dyDescent="0.2">
      <c r="A15">
        <v>5542</v>
      </c>
      <c r="B15" s="1">
        <v>1153110</v>
      </c>
      <c r="C15">
        <v>-766.50199999999995</v>
      </c>
      <c r="D15">
        <v>35304.1</v>
      </c>
      <c r="E15" s="1">
        <v>10420900</v>
      </c>
      <c r="F15">
        <v>46396.7</v>
      </c>
      <c r="I15">
        <f>SUM(B15:H15)</f>
        <v>11654944.297999999</v>
      </c>
      <c r="J15">
        <f>B15/$I15</f>
        <v>9.8937409782205055E-2</v>
      </c>
      <c r="K15">
        <f>C15/$I15</f>
        <v>-6.5766251678399916E-5</v>
      </c>
      <c r="L15">
        <f>D15/$I15</f>
        <v>3.0291092859241055E-3</v>
      </c>
      <c r="M15">
        <f>E15/$I15</f>
        <v>0.89411838731723825</v>
      </c>
      <c r="N15">
        <f>F15/$I15</f>
        <v>3.9808598663111346E-3</v>
      </c>
    </row>
    <row r="16" spans="1:14" x14ac:dyDescent="0.2">
      <c r="A16">
        <v>5846</v>
      </c>
      <c r="B16" s="1">
        <v>1167270</v>
      </c>
      <c r="C16">
        <v>5881.25</v>
      </c>
      <c r="D16">
        <v>45765.3</v>
      </c>
      <c r="E16" s="1">
        <v>10419400</v>
      </c>
      <c r="F16">
        <v>41847.699999999997</v>
      </c>
      <c r="I16">
        <f>SUM(B16:H16)</f>
        <v>11680164.25</v>
      </c>
      <c r="J16">
        <f>B16/$I16</f>
        <v>9.9936094648668997E-2</v>
      </c>
      <c r="K16">
        <f>C16/$I16</f>
        <v>5.035245972675427E-4</v>
      </c>
      <c r="L16">
        <f>D16/$I16</f>
        <v>3.9182068865170287E-3</v>
      </c>
      <c r="M16">
        <f>E16/$I16</f>
        <v>0.89205937322328321</v>
      </c>
      <c r="N16">
        <f>F16/$I16</f>
        <v>3.5828006442632002E-3</v>
      </c>
    </row>
    <row r="17" spans="1:14" x14ac:dyDescent="0.2">
      <c r="A17">
        <v>6151</v>
      </c>
      <c r="B17" s="1">
        <v>1169830</v>
      </c>
      <c r="C17">
        <v>-902.51099999999997</v>
      </c>
      <c r="D17">
        <v>51597.1</v>
      </c>
      <c r="E17" s="1">
        <v>10378500</v>
      </c>
      <c r="F17">
        <v>39043.1</v>
      </c>
      <c r="I17">
        <f>SUM(B17:H17)</f>
        <v>11638067.688999999</v>
      </c>
      <c r="J17">
        <f>B17/$I17</f>
        <v>0.10051754563222665</v>
      </c>
      <c r="K17">
        <f>C17/$I17</f>
        <v>-7.7548182749704228E-5</v>
      </c>
      <c r="L17">
        <f>D17/$I17</f>
        <v>4.4334765339755023E-3</v>
      </c>
      <c r="M17">
        <f>E17/$I17</f>
        <v>0.89177175089035532</v>
      </c>
      <c r="N17">
        <f>F17/$I17</f>
        <v>3.3547751261923425E-3</v>
      </c>
    </row>
    <row r="18" spans="1:14" x14ac:dyDescent="0.2">
      <c r="A18">
        <v>6455</v>
      </c>
      <c r="B18" s="1">
        <v>1181750</v>
      </c>
      <c r="C18">
        <v>12946.7</v>
      </c>
      <c r="D18">
        <v>39995.1</v>
      </c>
      <c r="E18" s="1">
        <v>10377200</v>
      </c>
      <c r="F18">
        <v>37574.1</v>
      </c>
      <c r="I18">
        <f>SUM(B18:H18)</f>
        <v>11649465.9</v>
      </c>
      <c r="J18">
        <f>B18/$I18</f>
        <v>0.10144241891810679</v>
      </c>
      <c r="K18">
        <f>C18/$I18</f>
        <v>1.1113556716793342E-3</v>
      </c>
      <c r="L18">
        <f>D18/$I18</f>
        <v>3.4332131913446776E-3</v>
      </c>
      <c r="M18">
        <f>E18/$I18</f>
        <v>0.8907876197139647</v>
      </c>
      <c r="N18">
        <f>F18/$I18</f>
        <v>3.2253925049044521E-3</v>
      </c>
    </row>
    <row r="19" spans="1:14" x14ac:dyDescent="0.2">
      <c r="A19">
        <v>6759</v>
      </c>
      <c r="B19" s="1">
        <v>1188980</v>
      </c>
      <c r="C19">
        <v>1465.26</v>
      </c>
      <c r="D19">
        <v>40143.599999999999</v>
      </c>
      <c r="E19" s="1">
        <v>10384400</v>
      </c>
      <c r="F19">
        <v>42458.1</v>
      </c>
      <c r="I19">
        <f>SUM(B19:H19)</f>
        <v>11657446.959999999</v>
      </c>
      <c r="J19">
        <f>B19/$I19</f>
        <v>0.10199317261144117</v>
      </c>
      <c r="K19">
        <f>C19/$I19</f>
        <v>1.2569304454291939E-4</v>
      </c>
      <c r="L19">
        <f>D19/$I19</f>
        <v>3.4436013423645895E-3</v>
      </c>
      <c r="M19">
        <f>E19/$I19</f>
        <v>0.89079538904460098</v>
      </c>
      <c r="N19">
        <f>F19/$I19</f>
        <v>3.6421439570504381E-3</v>
      </c>
    </row>
    <row r="20" spans="1:14" x14ac:dyDescent="0.2">
      <c r="A20">
        <v>7063</v>
      </c>
      <c r="B20" s="1">
        <v>1189240</v>
      </c>
      <c r="C20">
        <v>10510.5</v>
      </c>
      <c r="D20">
        <v>44977</v>
      </c>
      <c r="E20" s="1">
        <v>10338000</v>
      </c>
      <c r="F20">
        <v>32420.5</v>
      </c>
      <c r="I20">
        <f>SUM(B20:H20)</f>
        <v>11615148</v>
      </c>
      <c r="J20">
        <f>B20/$I20</f>
        <v>0.10238698637331181</v>
      </c>
      <c r="K20">
        <f>C20/$I20</f>
        <v>9.0489591695258641E-4</v>
      </c>
      <c r="L20">
        <f>D20/$I20</f>
        <v>3.8722709344728109E-3</v>
      </c>
      <c r="M20">
        <f>E20/$I20</f>
        <v>0.89004462104141935</v>
      </c>
      <c r="N20">
        <f>F20/$I20</f>
        <v>2.7912257338434257E-3</v>
      </c>
    </row>
    <row r="21" spans="1:14" x14ac:dyDescent="0.2">
      <c r="A21">
        <v>7367</v>
      </c>
      <c r="B21" s="1">
        <v>1204020</v>
      </c>
      <c r="C21">
        <v>9847.33</v>
      </c>
      <c r="D21">
        <v>45263.8</v>
      </c>
      <c r="E21" s="1">
        <v>10395500</v>
      </c>
      <c r="F21">
        <v>41214.800000000003</v>
      </c>
      <c r="I21">
        <f>SUM(B21:H21)</f>
        <v>11695845.930000002</v>
      </c>
      <c r="J21">
        <f>B21/$I21</f>
        <v>0.10294424252902243</v>
      </c>
      <c r="K21">
        <f>C21/$I21</f>
        <v>8.4195107040025774E-4</v>
      </c>
      <c r="L21">
        <f>D21/$I21</f>
        <v>3.8700749198395091E-3</v>
      </c>
      <c r="M21">
        <f>E21/$I21</f>
        <v>0.88881984785174051</v>
      </c>
      <c r="N21">
        <f>F21/$I21</f>
        <v>3.5238836289971545E-3</v>
      </c>
    </row>
    <row r="24" spans="1:14" x14ac:dyDescent="0.2">
      <c r="A24" t="s">
        <v>0</v>
      </c>
      <c r="B24" t="s">
        <v>6</v>
      </c>
      <c r="C24" t="s">
        <v>7</v>
      </c>
      <c r="D24" t="s">
        <v>8</v>
      </c>
      <c r="E24" t="s">
        <v>9</v>
      </c>
      <c r="F24" t="s">
        <v>10</v>
      </c>
      <c r="J24" t="s">
        <v>6</v>
      </c>
      <c r="K24" t="s">
        <v>7</v>
      </c>
      <c r="L24" t="s">
        <v>8</v>
      </c>
      <c r="M24" t="s">
        <v>9</v>
      </c>
      <c r="N24" t="s">
        <v>10</v>
      </c>
    </row>
    <row r="25" spans="1:14" x14ac:dyDescent="0.2">
      <c r="A25">
        <v>1584</v>
      </c>
      <c r="B25">
        <v>-1978.86</v>
      </c>
      <c r="C25">
        <v>692898</v>
      </c>
      <c r="D25">
        <v>912043</v>
      </c>
      <c r="E25" s="1">
        <v>11484400</v>
      </c>
      <c r="F25">
        <v>27502.3</v>
      </c>
      <c r="I25">
        <f>SUM(B25:H25)</f>
        <v>13114864.440000001</v>
      </c>
      <c r="J25">
        <f>B25/$I25</f>
        <v>-1.5088680550631752E-4</v>
      </c>
      <c r="K25">
        <f>C25/$I25</f>
        <v>5.2833027986677376E-2</v>
      </c>
      <c r="L25">
        <f>D25/$I25</f>
        <v>6.9542693649069842E-2</v>
      </c>
      <c r="M25">
        <f>E25/$I25</f>
        <v>0.87567813243824877</v>
      </c>
      <c r="N25">
        <f>F25/$I25</f>
        <v>2.0970327315102616E-3</v>
      </c>
    </row>
    <row r="26" spans="1:14" x14ac:dyDescent="0.2">
      <c r="A26">
        <v>1889</v>
      </c>
      <c r="B26">
        <v>-5957.31</v>
      </c>
      <c r="C26">
        <v>720232</v>
      </c>
      <c r="D26" s="1">
        <v>1042830</v>
      </c>
      <c r="E26" s="1">
        <v>11339100</v>
      </c>
      <c r="F26">
        <v>40675</v>
      </c>
      <c r="I26">
        <f>SUM(B26:H26)</f>
        <v>13136879.689999999</v>
      </c>
      <c r="J26">
        <f>B26/$I26</f>
        <v>-4.5347983239389785E-4</v>
      </c>
      <c r="K26">
        <f>C26/$I26</f>
        <v>5.4825195708251173E-2</v>
      </c>
      <c r="L26">
        <f>D26/$I26</f>
        <v>7.9381864233240923E-2</v>
      </c>
      <c r="M26">
        <f>E26/$I26</f>
        <v>0.86315017474290356</v>
      </c>
      <c r="N26">
        <f>F26/$I26</f>
        <v>3.0962451479983068E-3</v>
      </c>
    </row>
    <row r="27" spans="1:14" x14ac:dyDescent="0.2">
      <c r="A27">
        <v>2194</v>
      </c>
      <c r="B27">
        <v>-9916.2800000000007</v>
      </c>
      <c r="C27">
        <v>690950</v>
      </c>
      <c r="D27" s="1">
        <v>1092580</v>
      </c>
      <c r="E27" s="1">
        <v>11269100</v>
      </c>
      <c r="F27">
        <v>36687</v>
      </c>
      <c r="I27">
        <f>SUM(B27:H27)</f>
        <v>13079400.720000001</v>
      </c>
      <c r="J27">
        <f>B27/$I27</f>
        <v>-7.5816011851650034E-4</v>
      </c>
      <c r="K27">
        <f>C27/$I27</f>
        <v>5.282734391212994E-2</v>
      </c>
      <c r="L27">
        <f>D27/$I27</f>
        <v>8.3534408295122556E-2</v>
      </c>
      <c r="M27">
        <f>E27/$I27</f>
        <v>0.86159146288470012</v>
      </c>
      <c r="N27">
        <f>F27/$I27</f>
        <v>2.8049450265638775E-3</v>
      </c>
    </row>
    <row r="28" spans="1:14" x14ac:dyDescent="0.2">
      <c r="A28">
        <v>2498</v>
      </c>
      <c r="B28">
        <v>-8267.51</v>
      </c>
      <c r="C28">
        <v>692450</v>
      </c>
      <c r="D28" s="1">
        <v>1157150</v>
      </c>
      <c r="E28" s="1">
        <v>11187400</v>
      </c>
      <c r="F28">
        <v>34019.5</v>
      </c>
      <c r="I28">
        <f>SUM(B28:H28)</f>
        <v>13062751.99</v>
      </c>
      <c r="J28">
        <f>B28/$I28</f>
        <v>-6.3290721636061621E-4</v>
      </c>
      <c r="K28">
        <f>C28/$I28</f>
        <v>5.30095037041272E-2</v>
      </c>
      <c r="L28">
        <f>D28/$I28</f>
        <v>8.8583937051383912E-2</v>
      </c>
      <c r="M28">
        <f>E28/$I28</f>
        <v>0.8564351530645572</v>
      </c>
      <c r="N28">
        <f>F28/$I28</f>
        <v>2.6043133962922308E-3</v>
      </c>
    </row>
    <row r="29" spans="1:14" x14ac:dyDescent="0.2">
      <c r="A29">
        <v>2802</v>
      </c>
      <c r="B29">
        <v>-8810.49</v>
      </c>
      <c r="C29">
        <v>696006</v>
      </c>
      <c r="D29" s="1">
        <v>1273500</v>
      </c>
      <c r="E29" s="1">
        <v>11085000</v>
      </c>
      <c r="F29">
        <v>37173.5</v>
      </c>
      <c r="I29">
        <f>SUM(B29:H29)</f>
        <v>13082869.01</v>
      </c>
      <c r="J29">
        <f>B29/$I29</f>
        <v>-6.734371484775724E-4</v>
      </c>
      <c r="K29">
        <f>C29/$I29</f>
        <v>5.3199798871944835E-2</v>
      </c>
      <c r="L29">
        <f>D29/$I29</f>
        <v>9.7341034220138539E-2</v>
      </c>
      <c r="M29">
        <f>E29/$I29</f>
        <v>0.84729121659225415</v>
      </c>
      <c r="N29">
        <f>F29/$I29</f>
        <v>2.8413874641400236E-3</v>
      </c>
    </row>
    <row r="30" spans="1:14" x14ac:dyDescent="0.2">
      <c r="A30">
        <v>3107</v>
      </c>
      <c r="B30">
        <v>5749.74</v>
      </c>
      <c r="C30">
        <v>681801</v>
      </c>
      <c r="D30" s="1">
        <v>1293890</v>
      </c>
      <c r="E30" s="1">
        <v>11026000</v>
      </c>
      <c r="F30">
        <v>38059.699999999997</v>
      </c>
      <c r="I30">
        <f>SUM(B30:H30)</f>
        <v>13045500.439999999</v>
      </c>
      <c r="J30">
        <f>B30/$I30</f>
        <v>4.4074506964640446E-4</v>
      </c>
      <c r="K30">
        <f>C30/$I30</f>
        <v>5.226330742433366E-2</v>
      </c>
      <c r="L30">
        <f>D30/$I30</f>
        <v>9.9182856644785031E-2</v>
      </c>
      <c r="M30">
        <f>E30/$I30</f>
        <v>0.84519563283231169</v>
      </c>
      <c r="N30">
        <f>F30/$I30</f>
        <v>2.9174580289232661E-3</v>
      </c>
    </row>
    <row r="31" spans="1:14" x14ac:dyDescent="0.2">
      <c r="A31">
        <v>3411</v>
      </c>
      <c r="B31">
        <v>17947.099999999999</v>
      </c>
      <c r="C31">
        <v>716925</v>
      </c>
      <c r="D31" s="1">
        <v>1375790</v>
      </c>
      <c r="E31" s="1">
        <v>10983200</v>
      </c>
      <c r="F31">
        <v>38624.6</v>
      </c>
      <c r="I31">
        <f>SUM(B31:H31)</f>
        <v>13132486.699999999</v>
      </c>
      <c r="J31">
        <f>B31/$I31</f>
        <v>1.3666185551895514E-3</v>
      </c>
      <c r="K31">
        <f>C31/$I31</f>
        <v>5.4591717195495049E-2</v>
      </c>
      <c r="L31">
        <f>D31/$I31</f>
        <v>0.10476233720457528</v>
      </c>
      <c r="M31">
        <f>E31/$I31</f>
        <v>0.83633817805427513</v>
      </c>
      <c r="N31">
        <f>F31/$I31</f>
        <v>2.9411489904649971E-3</v>
      </c>
    </row>
    <row r="32" spans="1:14" x14ac:dyDescent="0.2">
      <c r="A32">
        <v>3715</v>
      </c>
      <c r="B32">
        <v>-4918.92</v>
      </c>
      <c r="C32">
        <v>699071</v>
      </c>
      <c r="D32" s="1">
        <v>1375910</v>
      </c>
      <c r="E32" s="1">
        <v>10973000</v>
      </c>
      <c r="F32">
        <v>40012.6</v>
      </c>
      <c r="I32">
        <f>SUM(B32:H32)</f>
        <v>13083074.68</v>
      </c>
      <c r="J32">
        <f>B32/$I32</f>
        <v>-3.7597584056594255E-4</v>
      </c>
      <c r="K32">
        <f>C32/$I32</f>
        <v>5.3433234701982149E-2</v>
      </c>
      <c r="L32">
        <f>D32/$I32</f>
        <v>0.10516717466295163</v>
      </c>
      <c r="M32">
        <f>E32/$I32</f>
        <v>0.83871721811496991</v>
      </c>
      <c r="N32">
        <f>F32/$I32</f>
        <v>3.0583483606622659E-3</v>
      </c>
    </row>
    <row r="33" spans="1:14" x14ac:dyDescent="0.2">
      <c r="A33">
        <v>4019</v>
      </c>
      <c r="B33">
        <v>-6784.74</v>
      </c>
      <c r="C33">
        <v>699824</v>
      </c>
      <c r="D33" s="1">
        <v>1359790</v>
      </c>
      <c r="E33" s="1">
        <v>10904800</v>
      </c>
      <c r="F33">
        <v>30804</v>
      </c>
      <c r="I33">
        <f>SUM(B33:H33)</f>
        <v>12988433.26</v>
      </c>
      <c r="J33">
        <f>B33/$I33</f>
        <v>-5.2236785331874589E-4</v>
      </c>
      <c r="K33">
        <f>C33/$I33</f>
        <v>5.3880555567484972E-2</v>
      </c>
      <c r="L33">
        <f>D33/$I33</f>
        <v>0.10469238073445665</v>
      </c>
      <c r="M33">
        <f>E33/$I33</f>
        <v>0.83957778291729079</v>
      </c>
      <c r="N33">
        <f>F33/$I33</f>
        <v>2.3716486340862948E-3</v>
      </c>
    </row>
    <row r="34" spans="1:14" x14ac:dyDescent="0.2">
      <c r="A34">
        <v>4323</v>
      </c>
      <c r="B34">
        <v>-13179.8</v>
      </c>
      <c r="C34">
        <v>683235</v>
      </c>
      <c r="D34" s="1">
        <v>1430060</v>
      </c>
      <c r="E34" s="1">
        <v>10878300</v>
      </c>
      <c r="F34">
        <v>38298.400000000001</v>
      </c>
      <c r="I34">
        <f>SUM(B34:H34)</f>
        <v>13016713.6</v>
      </c>
      <c r="J34">
        <f>B34/$I34</f>
        <v>-1.0125289996393561E-3</v>
      </c>
      <c r="K34">
        <f>C34/$I34</f>
        <v>5.2489055301946572E-2</v>
      </c>
      <c r="L34">
        <f>D34/$I34</f>
        <v>0.10986336827753512</v>
      </c>
      <c r="M34">
        <f>E34/$I34</f>
        <v>0.83571785738606097</v>
      </c>
      <c r="N34">
        <f>F34/$I34</f>
        <v>2.9422480340967174E-3</v>
      </c>
    </row>
    <row r="35" spans="1:14" x14ac:dyDescent="0.2">
      <c r="A35">
        <v>4627</v>
      </c>
      <c r="B35">
        <v>-7177.17</v>
      </c>
      <c r="C35">
        <v>689328</v>
      </c>
      <c r="D35" s="1">
        <v>1449030</v>
      </c>
      <c r="E35" s="1">
        <v>10858900</v>
      </c>
      <c r="F35">
        <v>26902.400000000001</v>
      </c>
      <c r="I35">
        <f>SUM(B35:H35)</f>
        <v>13016983.23</v>
      </c>
      <c r="J35">
        <f>B35/$I35</f>
        <v>-5.5136968936542142E-4</v>
      </c>
      <c r="K35">
        <f>C35/$I35</f>
        <v>5.2956048864787546E-2</v>
      </c>
      <c r="L35">
        <f>D35/$I35</f>
        <v>0.11131841951370479</v>
      </c>
      <c r="M35">
        <f>E35/$I35</f>
        <v>0.8342101858880554</v>
      </c>
      <c r="N35">
        <f>F35/$I35</f>
        <v>2.0667154228176722E-3</v>
      </c>
    </row>
    <row r="36" spans="1:14" x14ac:dyDescent="0.2">
      <c r="A36">
        <v>4933</v>
      </c>
      <c r="B36">
        <v>-3614.59</v>
      </c>
      <c r="C36">
        <v>701591</v>
      </c>
      <c r="D36" s="1">
        <v>1493050</v>
      </c>
      <c r="E36" s="1">
        <v>10904800</v>
      </c>
      <c r="F36">
        <v>54721.2</v>
      </c>
      <c r="I36">
        <f>SUM(B36:H36)</f>
        <v>13150547.609999999</v>
      </c>
      <c r="J36">
        <f>B36/$I36</f>
        <v>-2.7486231807193924E-4</v>
      </c>
      <c r="K36">
        <f>C36/$I36</f>
        <v>5.3350706054742007E-2</v>
      </c>
      <c r="L36">
        <f>D36/$I36</f>
        <v>0.11353519596892285</v>
      </c>
      <c r="M36">
        <f>E36/$I36</f>
        <v>0.82922782559318842</v>
      </c>
      <c r="N36">
        <f>F36/$I36</f>
        <v>4.1611347012187275E-3</v>
      </c>
    </row>
    <row r="37" spans="1:14" x14ac:dyDescent="0.2">
      <c r="A37">
        <v>5238</v>
      </c>
      <c r="B37">
        <v>-7522.29</v>
      </c>
      <c r="C37">
        <v>686819</v>
      </c>
      <c r="D37" s="1">
        <v>1481820</v>
      </c>
      <c r="E37" s="1">
        <v>10805600</v>
      </c>
      <c r="F37">
        <v>37278.199999999997</v>
      </c>
      <c r="I37">
        <f>SUM(B37:H37)</f>
        <v>13003994.91</v>
      </c>
      <c r="J37">
        <f>B37/$I37</f>
        <v>-5.7845993112588812E-4</v>
      </c>
      <c r="K37">
        <f>C37/$I37</f>
        <v>5.2816000371688855E-2</v>
      </c>
      <c r="L37">
        <f>D37/$I37</f>
        <v>0.11395113657422987</v>
      </c>
      <c r="M37">
        <f>E37/$I37</f>
        <v>0.8309446500698453</v>
      </c>
      <c r="N37">
        <f>F37/$I37</f>
        <v>2.8666729153618222E-3</v>
      </c>
    </row>
    <row r="38" spans="1:14" x14ac:dyDescent="0.2">
      <c r="A38">
        <v>5542</v>
      </c>
      <c r="B38">
        <v>-2769.39</v>
      </c>
      <c r="C38">
        <v>680849</v>
      </c>
      <c r="D38" s="1">
        <v>1470590</v>
      </c>
      <c r="E38" s="1">
        <v>10801100</v>
      </c>
      <c r="F38">
        <v>29330.1</v>
      </c>
      <c r="I38">
        <f>SUM(B38:H38)</f>
        <v>12979099.709999999</v>
      </c>
      <c r="J38">
        <f>B38/$I38</f>
        <v>-2.1337304295969539E-4</v>
      </c>
      <c r="K38">
        <f>C38/$I38</f>
        <v>5.2457336426456967E-2</v>
      </c>
      <c r="L38">
        <f>D38/$I38</f>
        <v>0.11330446894301578</v>
      </c>
      <c r="M38">
        <f>E38/$I38</f>
        <v>0.83219177303014957</v>
      </c>
      <c r="N38">
        <f>F38/$I38</f>
        <v>2.2597946433373997E-3</v>
      </c>
    </row>
    <row r="39" spans="1:14" x14ac:dyDescent="0.2">
      <c r="A39">
        <v>5846</v>
      </c>
      <c r="B39">
        <v>-6358.36</v>
      </c>
      <c r="C39">
        <v>645137</v>
      </c>
      <c r="D39" s="1">
        <v>1455770</v>
      </c>
      <c r="E39" s="1">
        <v>10789100</v>
      </c>
      <c r="F39">
        <v>37536.699999999997</v>
      </c>
      <c r="I39">
        <f>SUM(B39:H39)</f>
        <v>12921185.34</v>
      </c>
      <c r="J39">
        <f>B39/$I39</f>
        <v>-4.9208798052888237E-4</v>
      </c>
      <c r="K39">
        <f>C39/$I39</f>
        <v>4.9928623653656225E-2</v>
      </c>
      <c r="L39">
        <f>D39/$I39</f>
        <v>0.11266536015804879</v>
      </c>
      <c r="M39">
        <f>E39/$I39</f>
        <v>0.8349930533540354</v>
      </c>
      <c r="N39">
        <f>F39/$I39</f>
        <v>2.9050508147884825E-3</v>
      </c>
    </row>
    <row r="40" spans="1:14" x14ac:dyDescent="0.2">
      <c r="A40">
        <v>6151</v>
      </c>
      <c r="B40">
        <v>-4821.87</v>
      </c>
      <c r="C40">
        <v>693691</v>
      </c>
      <c r="D40" s="1">
        <v>1551060</v>
      </c>
      <c r="E40" s="1">
        <v>10810300</v>
      </c>
      <c r="F40">
        <v>35163.800000000003</v>
      </c>
      <c r="I40">
        <f>SUM(B40:H40)</f>
        <v>13085392.93</v>
      </c>
      <c r="J40">
        <f>B40/$I40</f>
        <v>-3.6849256463252416E-4</v>
      </c>
      <c r="K40">
        <f>C40/$I40</f>
        <v>5.3012622831494903E-2</v>
      </c>
      <c r="L40">
        <f>D40/$I40</f>
        <v>0.11853369694722649</v>
      </c>
      <c r="M40">
        <f>E40/$I40</f>
        <v>0.82613491683661655</v>
      </c>
      <c r="N40">
        <f>F40/$I40</f>
        <v>2.6872559492946003E-3</v>
      </c>
    </row>
    <row r="41" spans="1:14" x14ac:dyDescent="0.2">
      <c r="A41">
        <v>6455</v>
      </c>
      <c r="B41">
        <v>-6549.92</v>
      </c>
      <c r="C41">
        <v>679174</v>
      </c>
      <c r="D41" s="1">
        <v>1479480</v>
      </c>
      <c r="E41" s="1">
        <v>10763900</v>
      </c>
      <c r="F41">
        <v>29022.6</v>
      </c>
      <c r="I41">
        <f>SUM(B41:H41)</f>
        <v>12945026.68</v>
      </c>
      <c r="J41">
        <f>B41/$I41</f>
        <v>-5.059796446862171E-4</v>
      </c>
      <c r="K41">
        <f>C41/$I41</f>
        <v>5.2466017783441142E-2</v>
      </c>
      <c r="L41">
        <f>D41/$I41</f>
        <v>0.11428945158419712</v>
      </c>
      <c r="M41">
        <f>E41/$I41</f>
        <v>0.83150852185033897</v>
      </c>
      <c r="N41">
        <f>F41/$I41</f>
        <v>2.2419884267090595E-3</v>
      </c>
    </row>
    <row r="42" spans="1:14" x14ac:dyDescent="0.2">
      <c r="A42">
        <v>6759</v>
      </c>
      <c r="B42">
        <v>-4836.68</v>
      </c>
      <c r="C42">
        <v>654929</v>
      </c>
      <c r="D42" s="1">
        <v>1476530</v>
      </c>
      <c r="E42" s="1">
        <v>10809600</v>
      </c>
      <c r="F42">
        <v>45344.5</v>
      </c>
      <c r="I42">
        <f>SUM(B42:H42)</f>
        <v>12981566.82</v>
      </c>
      <c r="J42">
        <f>B42/$I42</f>
        <v>-3.7258060348681392E-4</v>
      </c>
      <c r="K42">
        <f>C42/$I42</f>
        <v>5.0450689741933633E-2</v>
      </c>
      <c r="L42">
        <f>D42/$I42</f>
        <v>0.11374050763465546</v>
      </c>
      <c r="M42">
        <f>E42/$I42</f>
        <v>0.83268839192401889</v>
      </c>
      <c r="N42">
        <f>F42/$I42</f>
        <v>3.4929913028787997E-3</v>
      </c>
    </row>
    <row r="43" spans="1:14" x14ac:dyDescent="0.2">
      <c r="A43">
        <v>7063</v>
      </c>
      <c r="B43">
        <v>-2040.66</v>
      </c>
      <c r="C43">
        <v>678162</v>
      </c>
      <c r="D43" s="1">
        <v>1482660</v>
      </c>
      <c r="E43" s="1">
        <v>10774500</v>
      </c>
      <c r="F43">
        <v>33772.5</v>
      </c>
      <c r="I43">
        <f>SUM(B43:H43)</f>
        <v>12967053.84</v>
      </c>
      <c r="J43">
        <f>B43/$I43</f>
        <v>-1.5737267888138885E-4</v>
      </c>
      <c r="K43">
        <f>C43/$I43</f>
        <v>5.2298849713112626E-2</v>
      </c>
      <c r="L43">
        <f>D43/$I43</f>
        <v>0.11434054476016582</v>
      </c>
      <c r="M43">
        <f>E43/$I43</f>
        <v>0.83091349299124995</v>
      </c>
      <c r="N43">
        <f>F43/$I43</f>
        <v>2.6044852143530545E-3</v>
      </c>
    </row>
    <row r="44" spans="1:14" x14ac:dyDescent="0.2">
      <c r="A44">
        <v>7367</v>
      </c>
      <c r="B44">
        <v>-4986.8999999999996</v>
      </c>
      <c r="C44">
        <v>681691</v>
      </c>
      <c r="D44" s="1">
        <v>1548750</v>
      </c>
      <c r="E44" s="1">
        <v>10748200</v>
      </c>
      <c r="F44">
        <v>35680.300000000003</v>
      </c>
      <c r="I44">
        <f>SUM(B44:H44)</f>
        <v>13009334.4</v>
      </c>
      <c r="J44">
        <f>B44/$I44</f>
        <v>-3.833324478153163E-4</v>
      </c>
      <c r="K44">
        <f>C44/$I44</f>
        <v>5.2400144314839039E-2</v>
      </c>
      <c r="L44">
        <f>D44/$I44</f>
        <v>0.11904913444303498</v>
      </c>
      <c r="M44">
        <f>E44/$I44</f>
        <v>0.82619138454923569</v>
      </c>
      <c r="N44">
        <f>F44/$I44</f>
        <v>2.7426691407056152E-3</v>
      </c>
    </row>
    <row r="47" spans="1:14" x14ac:dyDescent="0.2">
      <c r="A47" t="s">
        <v>14</v>
      </c>
      <c r="B47" t="s">
        <v>13</v>
      </c>
      <c r="D47" t="s">
        <v>11</v>
      </c>
      <c r="E47" t="s">
        <v>12</v>
      </c>
    </row>
    <row r="48" spans="1:14" x14ac:dyDescent="0.2">
      <c r="A48">
        <v>1584</v>
      </c>
      <c r="B48" s="1">
        <v>78429200</v>
      </c>
      <c r="D48">
        <v>21902.5</v>
      </c>
      <c r="E48">
        <v>109675</v>
      </c>
    </row>
    <row r="49" spans="1:5" x14ac:dyDescent="0.2">
      <c r="A49">
        <v>1889</v>
      </c>
      <c r="B49" s="1">
        <v>65762500</v>
      </c>
      <c r="D49">
        <v>17573.2</v>
      </c>
      <c r="E49">
        <v>117655</v>
      </c>
    </row>
    <row r="50" spans="1:5" x14ac:dyDescent="0.2">
      <c r="A50">
        <v>2194</v>
      </c>
      <c r="B50" s="1">
        <v>54983300</v>
      </c>
      <c r="D50">
        <v>21073.1</v>
      </c>
      <c r="E50">
        <v>116869</v>
      </c>
    </row>
    <row r="51" spans="1:5" x14ac:dyDescent="0.2">
      <c r="A51">
        <v>2498</v>
      </c>
      <c r="B51" s="1">
        <v>45954800</v>
      </c>
      <c r="D51">
        <v>19622.2</v>
      </c>
      <c r="E51">
        <v>131315</v>
      </c>
    </row>
    <row r="52" spans="1:5" x14ac:dyDescent="0.2">
      <c r="A52">
        <v>2802</v>
      </c>
      <c r="B52" s="1">
        <v>38398900</v>
      </c>
      <c r="D52">
        <v>15677.8</v>
      </c>
      <c r="E52">
        <v>124781</v>
      </c>
    </row>
    <row r="53" spans="1:5" x14ac:dyDescent="0.2">
      <c r="A53">
        <v>3107</v>
      </c>
      <c r="B53" s="1">
        <v>32060300</v>
      </c>
      <c r="D53">
        <v>16672.2</v>
      </c>
      <c r="E53">
        <v>125018</v>
      </c>
    </row>
    <row r="54" spans="1:5" x14ac:dyDescent="0.2">
      <c r="A54">
        <v>3411</v>
      </c>
      <c r="B54" s="1">
        <v>26744100</v>
      </c>
      <c r="D54">
        <v>18895.2</v>
      </c>
      <c r="E54">
        <v>128814</v>
      </c>
    </row>
    <row r="55" spans="1:5" x14ac:dyDescent="0.2">
      <c r="A55">
        <v>3715</v>
      </c>
      <c r="B55" s="1">
        <v>22457400</v>
      </c>
      <c r="D55">
        <v>18559.099999999999</v>
      </c>
      <c r="E55">
        <v>142590</v>
      </c>
    </row>
    <row r="56" spans="1:5" x14ac:dyDescent="0.2">
      <c r="A56">
        <v>4019</v>
      </c>
      <c r="B56" s="1">
        <v>18672800</v>
      </c>
      <c r="D56">
        <v>16795.400000000001</v>
      </c>
      <c r="E56">
        <v>136975</v>
      </c>
    </row>
    <row r="57" spans="1:5" x14ac:dyDescent="0.2">
      <c r="A57">
        <v>4323</v>
      </c>
      <c r="B57" s="1">
        <v>15468000</v>
      </c>
      <c r="D57">
        <v>12083.7</v>
      </c>
      <c r="E57">
        <v>130029</v>
      </c>
    </row>
    <row r="58" spans="1:5" x14ac:dyDescent="0.2">
      <c r="A58">
        <v>4627</v>
      </c>
      <c r="B58" s="1">
        <v>13208900</v>
      </c>
      <c r="D58">
        <v>14476.9</v>
      </c>
      <c r="E58">
        <v>123957</v>
      </c>
    </row>
    <row r="59" spans="1:5" x14ac:dyDescent="0.2">
      <c r="A59">
        <v>4933</v>
      </c>
      <c r="B59" s="1">
        <v>10740200</v>
      </c>
      <c r="D59">
        <v>19411.3</v>
      </c>
      <c r="E59">
        <v>136847</v>
      </c>
    </row>
    <row r="60" spans="1:5" x14ac:dyDescent="0.2">
      <c r="A60">
        <v>5238</v>
      </c>
      <c r="B60" s="1">
        <v>9065620</v>
      </c>
      <c r="D60">
        <v>17790.400000000001</v>
      </c>
      <c r="E60">
        <v>141151</v>
      </c>
    </row>
    <row r="61" spans="1:5" x14ac:dyDescent="0.2">
      <c r="A61">
        <v>5542</v>
      </c>
      <c r="B61" s="1">
        <v>7578490</v>
      </c>
      <c r="D61">
        <v>17705.599999999999</v>
      </c>
      <c r="E61">
        <v>137290</v>
      </c>
    </row>
    <row r="62" spans="1:5" x14ac:dyDescent="0.2">
      <c r="A62">
        <v>5846</v>
      </c>
      <c r="B62" s="1">
        <v>6328010</v>
      </c>
      <c r="D62">
        <v>14643.6</v>
      </c>
      <c r="E62">
        <v>126462</v>
      </c>
    </row>
    <row r="63" spans="1:5" x14ac:dyDescent="0.2">
      <c r="A63">
        <v>6151</v>
      </c>
      <c r="B63" s="1">
        <v>5013250</v>
      </c>
      <c r="D63">
        <v>20964.900000000001</v>
      </c>
      <c r="E63">
        <v>130904</v>
      </c>
    </row>
    <row r="64" spans="1:5" x14ac:dyDescent="0.2">
      <c r="A64">
        <v>6455</v>
      </c>
      <c r="B64" s="1">
        <v>4210880</v>
      </c>
      <c r="D64">
        <v>16320.9</v>
      </c>
      <c r="E64">
        <v>126819</v>
      </c>
    </row>
    <row r="65" spans="1:5" x14ac:dyDescent="0.2">
      <c r="A65">
        <v>6759</v>
      </c>
      <c r="B65" s="1">
        <v>3561560</v>
      </c>
      <c r="D65">
        <v>13277.8</v>
      </c>
      <c r="E65">
        <v>126298</v>
      </c>
    </row>
    <row r="66" spans="1:5" x14ac:dyDescent="0.2">
      <c r="A66">
        <v>7063</v>
      </c>
      <c r="B66" s="1">
        <v>2912860</v>
      </c>
      <c r="D66">
        <v>17372.7</v>
      </c>
      <c r="E66">
        <v>129822</v>
      </c>
    </row>
    <row r="67" spans="1:5" x14ac:dyDescent="0.2">
      <c r="A67">
        <v>7367</v>
      </c>
      <c r="B67" s="1">
        <v>2381850</v>
      </c>
      <c r="D67">
        <v>23255.3</v>
      </c>
      <c r="E67">
        <v>102025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5C95-DE9F-2442-8D00-A20FD91A990B}">
  <dimension ref="A1:L76"/>
  <sheetViews>
    <sheetView topLeftCell="A18" workbookViewId="0">
      <selection activeCell="K27" sqref="K27:K49"/>
    </sheetView>
  </sheetViews>
  <sheetFormatPr baseColWidth="10" defaultRowHeight="16" x14ac:dyDescent="0.2"/>
  <sheetData>
    <row r="1" spans="1:12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I1" t="s">
        <v>27</v>
      </c>
      <c r="J1" t="s">
        <v>28</v>
      </c>
      <c r="K1" t="s">
        <v>29</v>
      </c>
      <c r="L1" t="s">
        <v>30</v>
      </c>
    </row>
    <row r="2" spans="1:12" x14ac:dyDescent="0.2">
      <c r="A2">
        <v>780</v>
      </c>
      <c r="B2">
        <v>223735</v>
      </c>
      <c r="C2">
        <v>16589.3</v>
      </c>
      <c r="D2" s="1">
        <v>3288760</v>
      </c>
      <c r="E2">
        <v>18890.2</v>
      </c>
      <c r="H2">
        <f>SUM(B2:G2)</f>
        <v>3547974.5</v>
      </c>
      <c r="I2">
        <f>B2/$H2</f>
        <v>6.3059923344995855E-2</v>
      </c>
      <c r="J2">
        <f>C2/$H2</f>
        <v>4.6757100424481626E-3</v>
      </c>
      <c r="K2">
        <f>D2/$H2</f>
        <v>0.92694014570848804</v>
      </c>
      <c r="L2">
        <f>E2/$H2</f>
        <v>5.3242209040679413E-3</v>
      </c>
    </row>
    <row r="3" spans="1:12" x14ac:dyDescent="0.2">
      <c r="A3">
        <v>1054</v>
      </c>
      <c r="B3">
        <v>750159</v>
      </c>
      <c r="C3">
        <v>51739.6</v>
      </c>
      <c r="D3" s="1">
        <v>9785970</v>
      </c>
      <c r="E3">
        <v>37672.699999999997</v>
      </c>
      <c r="H3">
        <f>SUM(B3:G3)</f>
        <v>10625541.299999999</v>
      </c>
      <c r="I3">
        <f>B3/$H3</f>
        <v>7.0599603240919129E-2</v>
      </c>
      <c r="J3">
        <f>C3/$H3</f>
        <v>4.8693613378548543E-3</v>
      </c>
      <c r="K3">
        <f>D3/$H3</f>
        <v>0.92098555016674788</v>
      </c>
      <c r="L3">
        <f>E3/$H3</f>
        <v>3.5454852544782823E-3</v>
      </c>
    </row>
    <row r="4" spans="1:12" x14ac:dyDescent="0.2">
      <c r="A4">
        <v>1177</v>
      </c>
      <c r="B4">
        <v>268951</v>
      </c>
      <c r="C4">
        <v>11012.7</v>
      </c>
      <c r="D4" s="1">
        <v>3202050</v>
      </c>
      <c r="E4">
        <v>15596.7</v>
      </c>
      <c r="H4">
        <f>SUM(B4:G4)</f>
        <v>3497610.4000000004</v>
      </c>
      <c r="I4">
        <f>B4/$H4</f>
        <v>7.6895642808015433E-2</v>
      </c>
      <c r="J4">
        <f>C4/$H4</f>
        <v>3.1486354226302618E-3</v>
      </c>
      <c r="K4">
        <f>D4/$H4</f>
        <v>0.91549647725201178</v>
      </c>
      <c r="L4">
        <f>E4/$H4</f>
        <v>4.4592445173424686E-3</v>
      </c>
    </row>
    <row r="5" spans="1:12" x14ac:dyDescent="0.2">
      <c r="A5">
        <v>1300</v>
      </c>
      <c r="B5">
        <v>281703</v>
      </c>
      <c r="C5">
        <v>12176.8</v>
      </c>
      <c r="D5" s="1">
        <v>3198310</v>
      </c>
      <c r="E5">
        <v>11002.7</v>
      </c>
      <c r="H5">
        <f>SUM(B5:G5)</f>
        <v>3503192.5</v>
      </c>
      <c r="I5">
        <f>B5/$H5</f>
        <v>8.0413223081517785E-2</v>
      </c>
      <c r="J5">
        <f>C5/$H5</f>
        <v>3.4759151830794336E-3</v>
      </c>
      <c r="K5">
        <f>D5/$H5</f>
        <v>0.91297009798919126</v>
      </c>
      <c r="L5">
        <f>E5/$H5</f>
        <v>3.1407637462114914E-3</v>
      </c>
    </row>
    <row r="6" spans="1:12" x14ac:dyDescent="0.2">
      <c r="A6">
        <v>1423</v>
      </c>
      <c r="B6">
        <v>288353</v>
      </c>
      <c r="C6">
        <v>13134</v>
      </c>
      <c r="D6" s="1">
        <v>3170080</v>
      </c>
      <c r="E6">
        <v>17271.400000000001</v>
      </c>
      <c r="H6">
        <f>SUM(B6:G6)</f>
        <v>3488838.4</v>
      </c>
      <c r="I6">
        <f>B6/$H6</f>
        <v>8.2650145102736772E-2</v>
      </c>
      <c r="J6">
        <f>C6/$H6</f>
        <v>3.7645767714549346E-3</v>
      </c>
      <c r="K6">
        <f>D6/$H6</f>
        <v>0.90863480521195827</v>
      </c>
      <c r="L6">
        <f>E6/$H6</f>
        <v>4.950472913850066E-3</v>
      </c>
    </row>
    <row r="7" spans="1:12" x14ac:dyDescent="0.2">
      <c r="A7">
        <v>1546</v>
      </c>
      <c r="B7">
        <v>293717</v>
      </c>
      <c r="C7">
        <v>14880.2</v>
      </c>
      <c r="D7" s="1">
        <v>3182600</v>
      </c>
      <c r="E7">
        <v>12546.8</v>
      </c>
      <c r="H7">
        <f>SUM(B7:G7)</f>
        <v>3503744</v>
      </c>
      <c r="I7">
        <f>B7/$H7</f>
        <v>8.3829469276294158E-2</v>
      </c>
      <c r="J7">
        <f>C7/$H7</f>
        <v>4.2469426990099732E-3</v>
      </c>
      <c r="K7">
        <f>D7/$H7</f>
        <v>0.90834261863880461</v>
      </c>
      <c r="L7">
        <f>E7/$H7</f>
        <v>3.5809693858912064E-3</v>
      </c>
    </row>
    <row r="8" spans="1:12" x14ac:dyDescent="0.2">
      <c r="A8">
        <v>1670</v>
      </c>
      <c r="B8">
        <v>302638</v>
      </c>
      <c r="C8">
        <v>11288.7</v>
      </c>
      <c r="D8" s="1">
        <v>3154850</v>
      </c>
      <c r="E8">
        <v>16691.8</v>
      </c>
      <c r="H8">
        <f>SUM(B8:G8)</f>
        <v>3485468.5</v>
      </c>
      <c r="I8">
        <f>B8/$H8</f>
        <v>8.6828499525960431E-2</v>
      </c>
      <c r="J8">
        <f>C8/$H8</f>
        <v>3.238789849915442E-3</v>
      </c>
      <c r="K8">
        <f>D8/$H8</f>
        <v>0.90514374179539991</v>
      </c>
      <c r="L8">
        <f>E8/$H8</f>
        <v>4.7889688287241728E-3</v>
      </c>
    </row>
    <row r="9" spans="1:12" x14ac:dyDescent="0.2">
      <c r="A9">
        <v>1793</v>
      </c>
      <c r="B9">
        <v>312698</v>
      </c>
      <c r="C9">
        <v>12355.5</v>
      </c>
      <c r="D9" s="1">
        <v>3160480</v>
      </c>
      <c r="E9">
        <v>15445.5</v>
      </c>
      <c r="H9">
        <f>SUM(B9:G9)</f>
        <v>3500979</v>
      </c>
      <c r="I9">
        <f>B9/$H9</f>
        <v>8.9317302388846095E-2</v>
      </c>
      <c r="J9">
        <f>C9/$H9</f>
        <v>3.5291557018765321E-3</v>
      </c>
      <c r="K9">
        <f>D9/$H9</f>
        <v>0.90274177594324334</v>
      </c>
      <c r="L9">
        <f>E9/$H9</f>
        <v>4.411765966034072E-3</v>
      </c>
    </row>
    <row r="10" spans="1:12" x14ac:dyDescent="0.2">
      <c r="A10">
        <v>1917</v>
      </c>
      <c r="B10">
        <v>317974</v>
      </c>
      <c r="C10">
        <v>14151.7</v>
      </c>
      <c r="D10" s="1">
        <v>3170670</v>
      </c>
      <c r="E10">
        <v>15796.9</v>
      </c>
      <c r="H10">
        <f>SUM(B10:G10)</f>
        <v>3518592.6</v>
      </c>
      <c r="I10">
        <f>B10/$H10</f>
        <v>9.0369655185428402E-2</v>
      </c>
      <c r="J10">
        <f>C10/$H10</f>
        <v>4.0219774235869194E-3</v>
      </c>
      <c r="K10">
        <f>D10/$H10</f>
        <v>0.90111881665413607</v>
      </c>
      <c r="L10">
        <f>E10/$H10</f>
        <v>4.489550736848591E-3</v>
      </c>
    </row>
    <row r="11" spans="1:12" x14ac:dyDescent="0.2">
      <c r="A11">
        <v>2040</v>
      </c>
      <c r="B11">
        <v>325058</v>
      </c>
      <c r="C11">
        <v>17449.900000000001</v>
      </c>
      <c r="D11" s="1">
        <v>3145810</v>
      </c>
      <c r="E11">
        <v>18405.900000000001</v>
      </c>
      <c r="H11">
        <f>SUM(B11:G11)</f>
        <v>3506723.8</v>
      </c>
      <c r="I11">
        <f>B11/$H11</f>
        <v>9.2695638019737972E-2</v>
      </c>
      <c r="J11">
        <f>C11/$H11</f>
        <v>4.9761261494275658E-3</v>
      </c>
      <c r="K11">
        <f>D11/$H11</f>
        <v>0.89707949054898484</v>
      </c>
      <c r="L11">
        <f>E11/$H11</f>
        <v>5.2487452818496859E-3</v>
      </c>
    </row>
    <row r="12" spans="1:12" x14ac:dyDescent="0.2">
      <c r="A12">
        <v>2163</v>
      </c>
      <c r="B12">
        <v>317783</v>
      </c>
      <c r="C12">
        <v>12454.6</v>
      </c>
      <c r="D12" s="1">
        <v>3130060</v>
      </c>
      <c r="E12">
        <v>17306.3</v>
      </c>
      <c r="H12">
        <f>SUM(B12:G12)</f>
        <v>3477603.9</v>
      </c>
      <c r="I12">
        <f>B12/$H12</f>
        <v>9.1379872216039326E-2</v>
      </c>
      <c r="J12">
        <f>C12/$H12</f>
        <v>3.5813739454340966E-3</v>
      </c>
      <c r="K12">
        <f>D12/$H12</f>
        <v>0.90006225263319961</v>
      </c>
      <c r="L12">
        <f>E12/$H12</f>
        <v>4.9765012053270353E-3</v>
      </c>
    </row>
    <row r="13" spans="1:12" x14ac:dyDescent="0.2">
      <c r="A13">
        <v>2287</v>
      </c>
      <c r="B13">
        <v>323214</v>
      </c>
      <c r="C13">
        <v>16749.7</v>
      </c>
      <c r="D13" s="1">
        <v>3135900</v>
      </c>
      <c r="E13">
        <v>14959.9</v>
      </c>
      <c r="H13">
        <f>SUM(B13:G13)</f>
        <v>3490823.6</v>
      </c>
      <c r="I13">
        <f>B13/$H13</f>
        <v>9.2589611231000041E-2</v>
      </c>
      <c r="J13">
        <f>C13/$H13</f>
        <v>4.7982086519639663E-3</v>
      </c>
      <c r="K13">
        <f>D13/$H13</f>
        <v>0.8983266871462654</v>
      </c>
      <c r="L13">
        <f>E13/$H13</f>
        <v>4.2854929707705656E-3</v>
      </c>
    </row>
    <row r="14" spans="1:12" x14ac:dyDescent="0.2">
      <c r="A14">
        <v>2410</v>
      </c>
      <c r="B14">
        <v>320042</v>
      </c>
      <c r="C14">
        <v>12247.7</v>
      </c>
      <c r="D14" s="1">
        <v>3135430</v>
      </c>
      <c r="E14">
        <v>15333.3</v>
      </c>
      <c r="H14">
        <f>SUM(B14:G14)</f>
        <v>3483053</v>
      </c>
      <c r="I14">
        <f>B14/$H14</f>
        <v>9.1885480927221028E-2</v>
      </c>
      <c r="J14">
        <f>C14/$H14</f>
        <v>3.5163691164044877E-3</v>
      </c>
      <c r="K14">
        <f>D14/$H14</f>
        <v>0.90019589136312306</v>
      </c>
      <c r="L14">
        <f>E14/$H14</f>
        <v>4.4022585932513804E-3</v>
      </c>
    </row>
    <row r="15" spans="1:12" x14ac:dyDescent="0.2">
      <c r="A15">
        <v>2533</v>
      </c>
      <c r="B15">
        <v>327738</v>
      </c>
      <c r="C15">
        <v>20569.7</v>
      </c>
      <c r="D15" s="1">
        <v>3145080</v>
      </c>
      <c r="E15">
        <v>14450.1</v>
      </c>
      <c r="H15">
        <f>SUM(B15:G15)</f>
        <v>3507837.8000000003</v>
      </c>
      <c r="I15">
        <f>B15/$H15</f>
        <v>9.3430203642825213E-2</v>
      </c>
      <c r="J15">
        <f>C15/$H15</f>
        <v>5.8639256353301165E-3</v>
      </c>
      <c r="K15">
        <f>D15/$H15</f>
        <v>0.89658649553294623</v>
      </c>
      <c r="L15">
        <f>E15/$H15</f>
        <v>4.1193751888984149E-3</v>
      </c>
    </row>
    <row r="16" spans="1:12" x14ac:dyDescent="0.2">
      <c r="A16">
        <v>2656</v>
      </c>
      <c r="B16">
        <v>323423</v>
      </c>
      <c r="C16">
        <v>15792.7</v>
      </c>
      <c r="D16" s="1">
        <v>3137560</v>
      </c>
      <c r="E16">
        <v>10893</v>
      </c>
      <c r="H16">
        <f>SUM(B16:G16)</f>
        <v>3487668.7</v>
      </c>
      <c r="I16">
        <f>B16/$H16</f>
        <v>9.2733292012512542E-2</v>
      </c>
      <c r="J16">
        <f>C16/$H16</f>
        <v>4.5281537205641119E-3</v>
      </c>
      <c r="K16">
        <f>D16/$H16</f>
        <v>0.89961526448885465</v>
      </c>
      <c r="L16">
        <f>E16/$H16</f>
        <v>3.1232897780686564E-3</v>
      </c>
    </row>
    <row r="17" spans="1:12" x14ac:dyDescent="0.2">
      <c r="A17">
        <v>2780</v>
      </c>
      <c r="B17">
        <v>334185</v>
      </c>
      <c r="C17">
        <v>14640.1</v>
      </c>
      <c r="D17" s="1">
        <v>3120740</v>
      </c>
      <c r="E17">
        <v>10124.6</v>
      </c>
      <c r="H17">
        <f>SUM(B17:G17)</f>
        <v>3479689.7</v>
      </c>
      <c r="I17">
        <f>B17/$H17</f>
        <v>9.6038735867741309E-2</v>
      </c>
      <c r="J17">
        <f>C17/$H17</f>
        <v>4.2073004383120713E-3</v>
      </c>
      <c r="K17">
        <f>D17/$H17</f>
        <v>0.89684433643609074</v>
      </c>
      <c r="L17">
        <f>E17/$H17</f>
        <v>2.9096272578557794E-3</v>
      </c>
    </row>
    <row r="18" spans="1:12" x14ac:dyDescent="0.2">
      <c r="A18">
        <v>2903</v>
      </c>
      <c r="B18">
        <v>328544</v>
      </c>
      <c r="C18">
        <v>17686.599999999999</v>
      </c>
      <c r="D18" s="1">
        <v>3124040</v>
      </c>
      <c r="E18">
        <v>13353.1</v>
      </c>
      <c r="H18">
        <f>SUM(B18:G18)</f>
        <v>3483623.7</v>
      </c>
      <c r="I18">
        <f>B18/$H18</f>
        <v>9.4310990018812879E-2</v>
      </c>
      <c r="J18">
        <f>C18/$H18</f>
        <v>5.0770696042744222E-3</v>
      </c>
      <c r="K18">
        <f>D18/$H18</f>
        <v>0.89677883406293279</v>
      </c>
      <c r="L18">
        <f>E18/$H18</f>
        <v>3.8331063139798939E-3</v>
      </c>
    </row>
    <row r="19" spans="1:12" x14ac:dyDescent="0.2">
      <c r="A19">
        <v>3026</v>
      </c>
      <c r="B19">
        <v>319463</v>
      </c>
      <c r="C19">
        <v>14944.2</v>
      </c>
      <c r="D19" s="1">
        <v>3112880</v>
      </c>
      <c r="E19">
        <v>14216.7</v>
      </c>
      <c r="H19">
        <f>SUM(B19:G19)</f>
        <v>3461503.9000000004</v>
      </c>
      <c r="I19">
        <f>B19/$H19</f>
        <v>9.2290232577811035E-2</v>
      </c>
      <c r="J19">
        <f>C19/$H19</f>
        <v>4.3172564387403984E-3</v>
      </c>
      <c r="K19">
        <f>D19/$H19</f>
        <v>0.89928542330979311</v>
      </c>
      <c r="L19">
        <f>E19/$H19</f>
        <v>4.1070876736553725E-3</v>
      </c>
    </row>
    <row r="20" spans="1:12" x14ac:dyDescent="0.2">
      <c r="A20">
        <v>3150</v>
      </c>
      <c r="B20">
        <v>329224</v>
      </c>
      <c r="C20">
        <v>16028.1</v>
      </c>
      <c r="D20" s="1">
        <v>3128300</v>
      </c>
      <c r="E20">
        <v>16950.400000000001</v>
      </c>
      <c r="H20">
        <f>SUM(B20:G20)</f>
        <v>3490502.5</v>
      </c>
      <c r="I20">
        <f>B20/$H20</f>
        <v>9.4319943904924861E-2</v>
      </c>
      <c r="J20">
        <f>C20/$H20</f>
        <v>4.5919176393656785E-3</v>
      </c>
      <c r="K20">
        <f>D20/$H20</f>
        <v>0.89623198952013361</v>
      </c>
      <c r="L20">
        <f>E20/$H20</f>
        <v>4.8561489355758956E-3</v>
      </c>
    </row>
    <row r="21" spans="1:12" x14ac:dyDescent="0.2">
      <c r="A21">
        <v>3273</v>
      </c>
      <c r="B21">
        <v>327706</v>
      </c>
      <c r="C21">
        <v>11829.2</v>
      </c>
      <c r="D21" s="1">
        <v>3113550</v>
      </c>
      <c r="E21">
        <v>12385.9</v>
      </c>
      <c r="H21">
        <f>SUM(B21:G21)</f>
        <v>3465471.1</v>
      </c>
      <c r="I21">
        <f>B21/$H21</f>
        <v>9.4563189403022288E-2</v>
      </c>
      <c r="J21">
        <f>C21/$H21</f>
        <v>3.4134464431112991E-3</v>
      </c>
      <c r="K21">
        <f>D21/$H21</f>
        <v>0.8984492757709045</v>
      </c>
      <c r="L21">
        <f>E21/$H21</f>
        <v>3.5740883829618428E-3</v>
      </c>
    </row>
    <row r="22" spans="1:12" x14ac:dyDescent="0.2">
      <c r="A22">
        <v>3396</v>
      </c>
      <c r="B22">
        <v>327148</v>
      </c>
      <c r="C22">
        <v>12097.8</v>
      </c>
      <c r="D22" s="1">
        <v>3116000</v>
      </c>
      <c r="E22">
        <v>9562.43</v>
      </c>
      <c r="H22">
        <f>SUM(B22:G22)</f>
        <v>3464808.23</v>
      </c>
      <c r="I22">
        <f>B22/$H22</f>
        <v>9.4420232891215455E-2</v>
      </c>
      <c r="J22">
        <f>C22/$H22</f>
        <v>3.4916218148096467E-3</v>
      </c>
      <c r="K22">
        <f>D22/$H22</f>
        <v>0.8993282724914331</v>
      </c>
      <c r="L22">
        <f>E22/$H22</f>
        <v>2.7598728025418021E-3</v>
      </c>
    </row>
    <row r="23" spans="1:12" x14ac:dyDescent="0.2">
      <c r="A23">
        <v>3520</v>
      </c>
      <c r="B23">
        <v>335780</v>
      </c>
      <c r="C23">
        <v>12466.3</v>
      </c>
      <c r="D23" s="1">
        <v>3104320</v>
      </c>
      <c r="E23">
        <v>12828.5</v>
      </c>
      <c r="H23">
        <f>SUM(B23:G23)</f>
        <v>3465394.8</v>
      </c>
      <c r="I23">
        <f>B23/$H23</f>
        <v>9.6895164729859928E-2</v>
      </c>
      <c r="J23">
        <f>C23/$H23</f>
        <v>3.5973678958599463E-3</v>
      </c>
      <c r="K23">
        <f>D23/$H23</f>
        <v>0.89580558036273394</v>
      </c>
      <c r="L23">
        <f>E23/$H23</f>
        <v>3.7018870115462748E-3</v>
      </c>
    </row>
    <row r="24" spans="1:12" x14ac:dyDescent="0.2">
      <c r="A24">
        <v>3643</v>
      </c>
      <c r="B24">
        <v>321334</v>
      </c>
      <c r="C24">
        <v>12607.8</v>
      </c>
      <c r="D24" s="1">
        <v>3110080</v>
      </c>
      <c r="E24">
        <v>13060.8</v>
      </c>
      <c r="H24">
        <f>SUM(B24:G24)</f>
        <v>3457082.5999999996</v>
      </c>
      <c r="I24">
        <f>B24/$H24</f>
        <v>9.2949471325909319E-2</v>
      </c>
      <c r="J24">
        <f>C24/$H24</f>
        <v>3.6469478629177102E-3</v>
      </c>
      <c r="K24">
        <f>D24/$H24</f>
        <v>0.89962559760649063</v>
      </c>
      <c r="L24">
        <f>E24/$H24</f>
        <v>3.7779832046824684E-3</v>
      </c>
    </row>
    <row r="26" spans="1:12" x14ac:dyDescent="0.2">
      <c r="A26" t="s">
        <v>0</v>
      </c>
      <c r="B26" t="s">
        <v>31</v>
      </c>
      <c r="C26" t="s">
        <v>32</v>
      </c>
      <c r="D26" t="s">
        <v>33</v>
      </c>
      <c r="E26" t="s">
        <v>34</v>
      </c>
      <c r="I26" t="s">
        <v>31</v>
      </c>
      <c r="J26" t="s">
        <v>32</v>
      </c>
      <c r="K26" t="s">
        <v>33</v>
      </c>
      <c r="L26" t="s">
        <v>34</v>
      </c>
    </row>
    <row r="27" spans="1:12" x14ac:dyDescent="0.2">
      <c r="A27">
        <v>780</v>
      </c>
      <c r="B27">
        <v>70452.600000000006</v>
      </c>
      <c r="C27">
        <v>289681</v>
      </c>
      <c r="D27" s="1">
        <v>3355510</v>
      </c>
      <c r="E27">
        <v>11682.4</v>
      </c>
      <c r="H27">
        <f>SUM(B27:G27)</f>
        <v>3727326</v>
      </c>
      <c r="I27">
        <f>B27/$H27</f>
        <v>1.890164691792454E-2</v>
      </c>
      <c r="J27">
        <f>C27/$H27</f>
        <v>7.7718181881595544E-2</v>
      </c>
      <c r="K27">
        <f>D27/$H27</f>
        <v>0.90024591355840622</v>
      </c>
      <c r="L27">
        <f>E27/$H27</f>
        <v>3.1342576420737012E-3</v>
      </c>
    </row>
    <row r="28" spans="1:12" x14ac:dyDescent="0.2">
      <c r="A28">
        <v>1054</v>
      </c>
      <c r="B28">
        <v>146600</v>
      </c>
      <c r="C28">
        <v>913637</v>
      </c>
      <c r="D28" s="1">
        <v>9919780</v>
      </c>
      <c r="E28">
        <v>61297.3</v>
      </c>
      <c r="H28">
        <f>SUM(B28:G28)</f>
        <v>11041314.300000001</v>
      </c>
      <c r="I28">
        <f>B28/$H28</f>
        <v>1.3277404846631346E-2</v>
      </c>
      <c r="J28">
        <f>C28/$H28</f>
        <v>8.2747123682549273E-2</v>
      </c>
      <c r="K28">
        <f>D28/$H28</f>
        <v>0.89842384071975923</v>
      </c>
      <c r="L28">
        <f>E28/$H28</f>
        <v>5.5516307510601343E-3</v>
      </c>
    </row>
    <row r="29" spans="1:12" x14ac:dyDescent="0.2">
      <c r="A29">
        <v>1177</v>
      </c>
      <c r="B29">
        <v>64699.9</v>
      </c>
      <c r="C29">
        <v>361649</v>
      </c>
      <c r="D29" s="1">
        <v>3264730</v>
      </c>
      <c r="E29">
        <v>23795.4</v>
      </c>
      <c r="H29">
        <f>SUM(B29:G29)</f>
        <v>3714874.3</v>
      </c>
      <c r="I29">
        <f>B29/$H29</f>
        <v>1.7416443942665841E-2</v>
      </c>
      <c r="J29">
        <f>C29/$H29</f>
        <v>9.7351611600963187E-2</v>
      </c>
      <c r="K29">
        <f>D29/$H29</f>
        <v>0.87882650565054121</v>
      </c>
      <c r="L29">
        <f>E29/$H29</f>
        <v>6.405438805829851E-3</v>
      </c>
    </row>
    <row r="30" spans="1:12" x14ac:dyDescent="0.2">
      <c r="A30">
        <v>1300</v>
      </c>
      <c r="B30">
        <v>75536.899999999994</v>
      </c>
      <c r="C30">
        <v>369111</v>
      </c>
      <c r="D30" s="1">
        <v>3235800</v>
      </c>
      <c r="E30">
        <v>26111</v>
      </c>
      <c r="H30">
        <f>SUM(B30:G30)</f>
        <v>3706558.9</v>
      </c>
      <c r="I30">
        <f>B30/$H30</f>
        <v>2.0379252573053674E-2</v>
      </c>
      <c r="J30">
        <f>C30/$H30</f>
        <v>9.9583201011590558E-2</v>
      </c>
      <c r="K30">
        <f>D30/$H30</f>
        <v>0.87299300707186933</v>
      </c>
      <c r="L30">
        <f>E30/$H30</f>
        <v>7.0445393434864882E-3</v>
      </c>
    </row>
    <row r="31" spans="1:12" x14ac:dyDescent="0.2">
      <c r="A31">
        <v>1423</v>
      </c>
      <c r="B31">
        <v>63052</v>
      </c>
      <c r="C31">
        <v>373174</v>
      </c>
      <c r="D31" s="1">
        <v>3219270</v>
      </c>
      <c r="E31">
        <v>15422.2</v>
      </c>
      <c r="H31">
        <f>SUM(B31:G31)</f>
        <v>3670918.2</v>
      </c>
      <c r="I31">
        <f>B31/$H31</f>
        <v>1.7176084174253731E-2</v>
      </c>
      <c r="J31">
        <f>C31/$H31</f>
        <v>0.10165685522494072</v>
      </c>
      <c r="K31">
        <f>D31/$H31</f>
        <v>0.87696587736550491</v>
      </c>
      <c r="L31">
        <f>E31/$H31</f>
        <v>4.2011832353006399E-3</v>
      </c>
    </row>
    <row r="32" spans="1:12" x14ac:dyDescent="0.2">
      <c r="A32">
        <v>1546</v>
      </c>
      <c r="B32">
        <v>72402.100000000006</v>
      </c>
      <c r="C32">
        <v>397573</v>
      </c>
      <c r="D32" s="1">
        <v>3221960</v>
      </c>
      <c r="E32">
        <v>15549.9</v>
      </c>
      <c r="H32">
        <f>SUM(B32:G32)</f>
        <v>3707485</v>
      </c>
      <c r="I32">
        <f>B32/$H32</f>
        <v>1.9528629245971329E-2</v>
      </c>
      <c r="J32">
        <f>C32/$H32</f>
        <v>0.10723522819377557</v>
      </c>
      <c r="K32">
        <f>D32/$H32</f>
        <v>0.86904195161949405</v>
      </c>
      <c r="L32">
        <f>E32/$H32</f>
        <v>4.1941909407590319E-3</v>
      </c>
    </row>
    <row r="33" spans="1:12" x14ac:dyDescent="0.2">
      <c r="A33">
        <v>1670</v>
      </c>
      <c r="B33">
        <v>64953.4</v>
      </c>
      <c r="C33">
        <v>390527</v>
      </c>
      <c r="D33" s="1">
        <v>3208940</v>
      </c>
      <c r="E33">
        <v>16867.8</v>
      </c>
      <c r="H33">
        <f>SUM(B33:G33)</f>
        <v>3681288.1999999997</v>
      </c>
      <c r="I33">
        <f>B33/$H33</f>
        <v>1.7644204004456921E-2</v>
      </c>
      <c r="J33">
        <f>C33/$H33</f>
        <v>0.10608433210961316</v>
      </c>
      <c r="K33">
        <f>D33/$H33</f>
        <v>0.87168942654367576</v>
      </c>
      <c r="L33">
        <f>E33/$H33</f>
        <v>4.5820373422542689E-3</v>
      </c>
    </row>
    <row r="34" spans="1:12" x14ac:dyDescent="0.2">
      <c r="A34">
        <v>1793</v>
      </c>
      <c r="B34">
        <v>56451.6</v>
      </c>
      <c r="C34">
        <v>404719</v>
      </c>
      <c r="D34" s="1">
        <v>3207700</v>
      </c>
      <c r="E34">
        <v>15830.2</v>
      </c>
      <c r="H34">
        <f>SUM(B34:G34)</f>
        <v>3684700.8000000003</v>
      </c>
      <c r="I34">
        <f>B34/$H34</f>
        <v>1.5320538373156375E-2</v>
      </c>
      <c r="J34">
        <f>C34/$H34</f>
        <v>0.10983768342873321</v>
      </c>
      <c r="K34">
        <f>D34/$H34</f>
        <v>0.87054558134000992</v>
      </c>
      <c r="L34">
        <f>E34/$H34</f>
        <v>4.2961968581003915E-3</v>
      </c>
    </row>
    <row r="35" spans="1:12" x14ac:dyDescent="0.2">
      <c r="A35">
        <v>1917</v>
      </c>
      <c r="B35">
        <v>82177.7</v>
      </c>
      <c r="C35">
        <v>402231</v>
      </c>
      <c r="D35" s="1">
        <v>3205160</v>
      </c>
      <c r="E35">
        <v>17742.099999999999</v>
      </c>
      <c r="H35">
        <f>SUM(B35:G35)</f>
        <v>3707310.8000000003</v>
      </c>
      <c r="I35">
        <f>B35/$H35</f>
        <v>2.2166390797340216E-2</v>
      </c>
      <c r="J35">
        <f>C35/$H35</f>
        <v>0.10849670332468483</v>
      </c>
      <c r="K35">
        <f>D35/$H35</f>
        <v>0.86455119975374062</v>
      </c>
      <c r="L35">
        <f>E35/$H35</f>
        <v>4.7857061242343093E-3</v>
      </c>
    </row>
    <row r="36" spans="1:12" x14ac:dyDescent="0.2">
      <c r="A36">
        <v>2040</v>
      </c>
      <c r="B36">
        <v>62665.1</v>
      </c>
      <c r="C36">
        <v>412297</v>
      </c>
      <c r="D36" s="1">
        <v>3203280</v>
      </c>
      <c r="E36">
        <v>13278.4</v>
      </c>
      <c r="H36">
        <f>SUM(B36:G36)</f>
        <v>3691520.5</v>
      </c>
      <c r="I36">
        <f>B36/$H36</f>
        <v>1.6975417040214189E-2</v>
      </c>
      <c r="J36">
        <f>C36/$H36</f>
        <v>0.11168758239321711</v>
      </c>
      <c r="K36">
        <f>D36/$H36</f>
        <v>0.86774000036028509</v>
      </c>
      <c r="L36">
        <f>E36/$H36</f>
        <v>3.5970002062835627E-3</v>
      </c>
    </row>
    <row r="37" spans="1:12" x14ac:dyDescent="0.2">
      <c r="A37">
        <v>2163</v>
      </c>
      <c r="B37">
        <v>63463.8</v>
      </c>
      <c r="C37">
        <v>395699</v>
      </c>
      <c r="D37" s="1">
        <v>3163870</v>
      </c>
      <c r="E37">
        <v>18337.400000000001</v>
      </c>
      <c r="H37">
        <f>SUM(B37:G37)</f>
        <v>3641370.1999999997</v>
      </c>
      <c r="I37">
        <f>B37/$H37</f>
        <v>1.7428549286200017E-2</v>
      </c>
      <c r="J37">
        <f>C37/$H37</f>
        <v>0.10866761088998862</v>
      </c>
      <c r="K37">
        <f>D37/$H37</f>
        <v>0.86886798820949329</v>
      </c>
      <c r="L37">
        <f>E37/$H37</f>
        <v>5.0358516143181493E-3</v>
      </c>
    </row>
    <row r="38" spans="1:12" x14ac:dyDescent="0.2">
      <c r="A38">
        <v>2287</v>
      </c>
      <c r="B38">
        <v>72609.7</v>
      </c>
      <c r="C38">
        <v>408318</v>
      </c>
      <c r="D38" s="1">
        <v>3160090</v>
      </c>
      <c r="E38">
        <v>13460.5</v>
      </c>
      <c r="H38">
        <f>SUM(B38:G38)</f>
        <v>3654478.2</v>
      </c>
      <c r="I38">
        <f>B38/$H38</f>
        <v>1.9868691513880148E-2</v>
      </c>
      <c r="J38">
        <f>C38/$H38</f>
        <v>0.1117308621515378</v>
      </c>
      <c r="K38">
        <f>D38/$H38</f>
        <v>0.86471715715803144</v>
      </c>
      <c r="L38">
        <f>E38/$H38</f>
        <v>3.6832891765505673E-3</v>
      </c>
    </row>
    <row r="39" spans="1:12" x14ac:dyDescent="0.2">
      <c r="A39">
        <v>2410</v>
      </c>
      <c r="B39">
        <v>60818</v>
      </c>
      <c r="C39">
        <v>408327</v>
      </c>
      <c r="D39" s="1">
        <v>3161560</v>
      </c>
      <c r="E39">
        <v>12382</v>
      </c>
      <c r="H39">
        <f>SUM(B39:G39)</f>
        <v>3643087</v>
      </c>
      <c r="I39">
        <f>B39/$H39</f>
        <v>1.669408389094194E-2</v>
      </c>
      <c r="J39">
        <f>C39/$H39</f>
        <v>0.1120826925077551</v>
      </c>
      <c r="K39">
        <f>D39/$H39</f>
        <v>0.86782445766461247</v>
      </c>
      <c r="L39">
        <f>E39/$H39</f>
        <v>3.3987659366905044E-3</v>
      </c>
    </row>
    <row r="40" spans="1:12" x14ac:dyDescent="0.2">
      <c r="A40">
        <v>2533</v>
      </c>
      <c r="B40">
        <v>63085.9</v>
      </c>
      <c r="C40">
        <v>416864</v>
      </c>
      <c r="D40" s="1">
        <v>3188420</v>
      </c>
      <c r="E40">
        <v>19900.2</v>
      </c>
      <c r="H40">
        <f>SUM(B40:G40)</f>
        <v>3688270.1</v>
      </c>
      <c r="I40">
        <f>B40/$H40</f>
        <v>1.7104468569153871E-2</v>
      </c>
      <c r="J40">
        <f>C40/$H40</f>
        <v>0.11302426034362288</v>
      </c>
      <c r="K40">
        <f>D40/$H40</f>
        <v>0.86447573348817375</v>
      </c>
      <c r="L40">
        <f>E40/$H40</f>
        <v>5.3955375990494842E-3</v>
      </c>
    </row>
    <row r="41" spans="1:12" x14ac:dyDescent="0.2">
      <c r="A41">
        <v>2656</v>
      </c>
      <c r="B41">
        <v>65475</v>
      </c>
      <c r="C41">
        <v>426445</v>
      </c>
      <c r="D41" s="1">
        <v>3175050</v>
      </c>
      <c r="E41">
        <v>23780.799999999999</v>
      </c>
      <c r="H41">
        <f>SUM(B41:G41)</f>
        <v>3690750.8</v>
      </c>
      <c r="I41">
        <f>B41/$H41</f>
        <v>1.7740292842312735E-2</v>
      </c>
      <c r="J41">
        <f>C41/$H41</f>
        <v>0.11554424102543039</v>
      </c>
      <c r="K41">
        <f>D41/$H41</f>
        <v>0.86027211590660635</v>
      </c>
      <c r="L41">
        <f>E41/$H41</f>
        <v>6.4433502256505638E-3</v>
      </c>
    </row>
    <row r="42" spans="1:12" x14ac:dyDescent="0.2">
      <c r="A42">
        <v>2780</v>
      </c>
      <c r="B42">
        <v>74180.7</v>
      </c>
      <c r="C42">
        <v>421671</v>
      </c>
      <c r="D42" s="1">
        <v>3170220</v>
      </c>
      <c r="E42">
        <v>19594.900000000001</v>
      </c>
      <c r="H42">
        <f>SUM(B42:G42)</f>
        <v>3685666.6</v>
      </c>
      <c r="I42">
        <f>B42/$H42</f>
        <v>2.0126806911943688E-2</v>
      </c>
      <c r="J42">
        <f>C42/$H42</f>
        <v>0.11440834067845421</v>
      </c>
      <c r="K42">
        <f>D42/$H42</f>
        <v>0.86014833788818557</v>
      </c>
      <c r="L42">
        <f>E42/$H42</f>
        <v>5.3165145214165606E-3</v>
      </c>
    </row>
    <row r="43" spans="1:12" x14ac:dyDescent="0.2">
      <c r="A43">
        <v>2903</v>
      </c>
      <c r="B43">
        <v>65314.8</v>
      </c>
      <c r="C43">
        <v>427374</v>
      </c>
      <c r="D43" s="1">
        <v>3163870</v>
      </c>
      <c r="E43">
        <v>16251.7</v>
      </c>
      <c r="H43">
        <f>SUM(B43:G43)</f>
        <v>3672810.5</v>
      </c>
      <c r="I43">
        <f>B43/$H43</f>
        <v>1.7783329687170085E-2</v>
      </c>
      <c r="J43">
        <f>C43/$H43</f>
        <v>0.11636157106390324</v>
      </c>
      <c r="K43">
        <f>D43/$H43</f>
        <v>0.86143023169858612</v>
      </c>
      <c r="L43">
        <f>E43/$H43</f>
        <v>4.424867550340536E-3</v>
      </c>
    </row>
    <row r="44" spans="1:12" x14ac:dyDescent="0.2">
      <c r="A44">
        <v>3026</v>
      </c>
      <c r="B44">
        <v>73593.100000000006</v>
      </c>
      <c r="C44">
        <v>427180</v>
      </c>
      <c r="D44" s="1">
        <v>3183260</v>
      </c>
      <c r="E44">
        <v>18605.400000000001</v>
      </c>
      <c r="H44">
        <f>SUM(B44:G44)</f>
        <v>3702638.5</v>
      </c>
      <c r="I44">
        <f>B44/$H44</f>
        <v>1.9875853394815617E-2</v>
      </c>
      <c r="J44">
        <f>C44/$H44</f>
        <v>0.11537178150121866</v>
      </c>
      <c r="K44">
        <f>D44/$H44</f>
        <v>0.85972746191668459</v>
      </c>
      <c r="L44">
        <f>E44/$H44</f>
        <v>5.0249031872811782E-3</v>
      </c>
    </row>
    <row r="45" spans="1:12" x14ac:dyDescent="0.2">
      <c r="A45">
        <v>3150</v>
      </c>
      <c r="B45">
        <v>66110.100000000006</v>
      </c>
      <c r="C45">
        <v>415287</v>
      </c>
      <c r="D45" s="1">
        <v>3159970</v>
      </c>
      <c r="E45">
        <v>19075.900000000001</v>
      </c>
      <c r="H45">
        <f>SUM(B45:G45)</f>
        <v>3660443</v>
      </c>
      <c r="I45">
        <f>B45/$H45</f>
        <v>1.8060682818992129E-2</v>
      </c>
      <c r="J45">
        <f>C45/$H45</f>
        <v>0.11345266133088262</v>
      </c>
      <c r="K45">
        <f>D45/$H45</f>
        <v>0.86327529208896303</v>
      </c>
      <c r="L45">
        <f>E45/$H45</f>
        <v>5.2113637611622418E-3</v>
      </c>
    </row>
    <row r="46" spans="1:12" x14ac:dyDescent="0.2">
      <c r="A46">
        <v>3273</v>
      </c>
      <c r="B46">
        <v>65919.3</v>
      </c>
      <c r="C46">
        <v>425058</v>
      </c>
      <c r="D46" s="1">
        <v>3179580</v>
      </c>
      <c r="E46">
        <v>20503.099999999999</v>
      </c>
      <c r="H46">
        <f>SUM(B46:G46)</f>
        <v>3691060.4</v>
      </c>
      <c r="I46">
        <f>B46/$H46</f>
        <v>1.7859176728725439E-2</v>
      </c>
      <c r="J46">
        <f>C46/$H46</f>
        <v>0.11515877659439006</v>
      </c>
      <c r="K46">
        <f>D46/$H46</f>
        <v>0.86142724730269926</v>
      </c>
      <c r="L46">
        <f>E46/$H46</f>
        <v>5.5547993741852609E-3</v>
      </c>
    </row>
    <row r="47" spans="1:12" x14ac:dyDescent="0.2">
      <c r="A47">
        <v>3396</v>
      </c>
      <c r="B47">
        <v>65196.2</v>
      </c>
      <c r="C47">
        <v>422177</v>
      </c>
      <c r="D47" s="1">
        <v>3174000</v>
      </c>
      <c r="E47">
        <v>15849.4</v>
      </c>
      <c r="H47">
        <f>SUM(B47:G47)</f>
        <v>3677222.6</v>
      </c>
      <c r="I47">
        <f>B47/$H47</f>
        <v>1.7729739831360766E-2</v>
      </c>
      <c r="J47">
        <f>C47/$H47</f>
        <v>0.11480866021001829</v>
      </c>
      <c r="K47">
        <f>D47/$H47</f>
        <v>0.86315144478879247</v>
      </c>
      <c r="L47">
        <f>E47/$H47</f>
        <v>4.310155169828446E-3</v>
      </c>
    </row>
    <row r="48" spans="1:12" x14ac:dyDescent="0.2">
      <c r="A48">
        <v>3520</v>
      </c>
      <c r="B48">
        <v>75575.7</v>
      </c>
      <c r="C48">
        <v>420985</v>
      </c>
      <c r="D48" s="1">
        <v>3203100</v>
      </c>
      <c r="E48">
        <v>23965.200000000001</v>
      </c>
      <c r="H48">
        <f>SUM(B48:G48)</f>
        <v>3723625.9000000004</v>
      </c>
      <c r="I48">
        <f>B48/$H48</f>
        <v>2.029626552978912E-2</v>
      </c>
      <c r="J48">
        <f>C48/$H48</f>
        <v>0.11305781281626598</v>
      </c>
      <c r="K48">
        <f>D48/$H48</f>
        <v>0.8602099367715752</v>
      </c>
      <c r="L48">
        <f>E48/$H48</f>
        <v>6.4359848823696275E-3</v>
      </c>
    </row>
    <row r="49" spans="1:12" x14ac:dyDescent="0.2">
      <c r="A49">
        <v>3643</v>
      </c>
      <c r="B49">
        <v>56290.1</v>
      </c>
      <c r="C49">
        <v>421250</v>
      </c>
      <c r="D49" s="1">
        <v>3160640</v>
      </c>
      <c r="E49">
        <v>14930.2</v>
      </c>
      <c r="H49">
        <f>SUM(B49:G49)</f>
        <v>3653110.3000000003</v>
      </c>
      <c r="I49">
        <f>B49/$H49</f>
        <v>1.5408814784486522E-2</v>
      </c>
      <c r="J49">
        <f>C49/$H49</f>
        <v>0.11531269669026965</v>
      </c>
      <c r="K49">
        <f>D49/$H49</f>
        <v>0.86519150544126733</v>
      </c>
      <c r="L49">
        <f>E49/$H49</f>
        <v>4.0869830839764133E-3</v>
      </c>
    </row>
    <row r="53" spans="1:12" x14ac:dyDescent="0.2">
      <c r="A53" t="s">
        <v>0</v>
      </c>
      <c r="B53" t="s">
        <v>35</v>
      </c>
    </row>
    <row r="54" spans="1:12" x14ac:dyDescent="0.2">
      <c r="A54">
        <v>780</v>
      </c>
      <c r="B54" s="1">
        <v>17453200</v>
      </c>
    </row>
    <row r="55" spans="1:12" x14ac:dyDescent="0.2">
      <c r="A55">
        <v>1054</v>
      </c>
      <c r="B55" s="1">
        <v>38798200</v>
      </c>
    </row>
    <row r="56" spans="1:12" x14ac:dyDescent="0.2">
      <c r="A56">
        <v>1177</v>
      </c>
      <c r="B56" s="1">
        <v>9533790</v>
      </c>
    </row>
    <row r="57" spans="1:12" x14ac:dyDescent="0.2">
      <c r="A57">
        <v>1300</v>
      </c>
      <c r="B57" s="1">
        <v>7888830</v>
      </c>
    </row>
    <row r="58" spans="1:12" x14ac:dyDescent="0.2">
      <c r="A58">
        <v>1423</v>
      </c>
      <c r="B58" s="1">
        <v>6497970</v>
      </c>
    </row>
    <row r="59" spans="1:12" x14ac:dyDescent="0.2">
      <c r="A59">
        <v>1546</v>
      </c>
      <c r="B59" s="1">
        <v>5344010</v>
      </c>
    </row>
    <row r="60" spans="1:12" x14ac:dyDescent="0.2">
      <c r="A60">
        <v>1670</v>
      </c>
      <c r="B60" s="1">
        <v>4494870</v>
      </c>
    </row>
    <row r="61" spans="1:12" x14ac:dyDescent="0.2">
      <c r="A61">
        <v>1793</v>
      </c>
      <c r="B61" s="1">
        <v>3697290</v>
      </c>
    </row>
    <row r="62" spans="1:12" x14ac:dyDescent="0.2">
      <c r="A62">
        <v>1917</v>
      </c>
      <c r="B62" s="1">
        <v>3026470</v>
      </c>
    </row>
    <row r="63" spans="1:12" x14ac:dyDescent="0.2">
      <c r="A63">
        <v>2040</v>
      </c>
      <c r="B63" s="1">
        <v>2563550</v>
      </c>
    </row>
    <row r="64" spans="1:12" x14ac:dyDescent="0.2">
      <c r="A64">
        <v>2163</v>
      </c>
      <c r="B64" s="1">
        <v>2071690</v>
      </c>
    </row>
    <row r="65" spans="1:2" x14ac:dyDescent="0.2">
      <c r="A65">
        <v>2287</v>
      </c>
      <c r="B65" s="1">
        <v>1745240</v>
      </c>
    </row>
    <row r="66" spans="1:2" x14ac:dyDescent="0.2">
      <c r="A66">
        <v>2410</v>
      </c>
      <c r="B66" s="1">
        <v>1425390</v>
      </c>
    </row>
    <row r="67" spans="1:2" x14ac:dyDescent="0.2">
      <c r="A67">
        <v>2533</v>
      </c>
      <c r="B67" s="1">
        <v>1195020</v>
      </c>
    </row>
    <row r="68" spans="1:2" x14ac:dyDescent="0.2">
      <c r="A68">
        <v>2656</v>
      </c>
      <c r="B68">
        <v>982741</v>
      </c>
    </row>
    <row r="69" spans="1:2" x14ac:dyDescent="0.2">
      <c r="A69">
        <v>2780</v>
      </c>
      <c r="B69">
        <v>793094</v>
      </c>
    </row>
    <row r="70" spans="1:2" x14ac:dyDescent="0.2">
      <c r="A70">
        <v>2903</v>
      </c>
      <c r="B70">
        <v>644545</v>
      </c>
    </row>
    <row r="71" spans="1:2" x14ac:dyDescent="0.2">
      <c r="A71">
        <v>3026</v>
      </c>
      <c r="B71">
        <v>548816</v>
      </c>
    </row>
    <row r="72" spans="1:2" x14ac:dyDescent="0.2">
      <c r="A72">
        <v>3150</v>
      </c>
      <c r="B72">
        <v>444076</v>
      </c>
    </row>
    <row r="73" spans="1:2" x14ac:dyDescent="0.2">
      <c r="A73">
        <v>3273</v>
      </c>
      <c r="B73">
        <v>374683</v>
      </c>
    </row>
    <row r="74" spans="1:2" x14ac:dyDescent="0.2">
      <c r="A74">
        <v>3396</v>
      </c>
      <c r="B74">
        <v>282985</v>
      </c>
    </row>
    <row r="75" spans="1:2" x14ac:dyDescent="0.2">
      <c r="A75">
        <v>3520</v>
      </c>
      <c r="B75">
        <v>233482</v>
      </c>
    </row>
    <row r="76" spans="1:2" x14ac:dyDescent="0.2">
      <c r="A76">
        <v>3643</v>
      </c>
      <c r="B76">
        <v>176237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428F-40AC-1D46-A5BD-527AEBD80226}">
  <dimension ref="A1:K44"/>
  <sheetViews>
    <sheetView workbookViewId="0">
      <selection activeCell="I2" sqref="I2:I21"/>
    </sheetView>
  </sheetViews>
  <sheetFormatPr baseColWidth="10" defaultRowHeight="16" x14ac:dyDescent="0.2"/>
  <sheetData>
    <row r="1" spans="1:11" x14ac:dyDescent="0.2">
      <c r="A1" t="s">
        <v>0</v>
      </c>
      <c r="B1" t="s">
        <v>36</v>
      </c>
      <c r="C1" t="s">
        <v>37</v>
      </c>
      <c r="D1" t="s">
        <v>38</v>
      </c>
      <c r="E1" t="s">
        <v>39</v>
      </c>
      <c r="H1" t="s">
        <v>36</v>
      </c>
      <c r="I1" t="s">
        <v>37</v>
      </c>
      <c r="J1" t="s">
        <v>38</v>
      </c>
      <c r="K1" t="s">
        <v>39</v>
      </c>
    </row>
    <row r="2" spans="1:11" x14ac:dyDescent="0.2">
      <c r="A2">
        <v>380</v>
      </c>
      <c r="B2">
        <v>132.583</v>
      </c>
      <c r="C2">
        <v>2773.79</v>
      </c>
      <c r="D2">
        <v>152.56200000000001</v>
      </c>
      <c r="E2">
        <v>2659.62</v>
      </c>
      <c r="G2">
        <f>SUM(B2:D2)</f>
        <v>3058.9349999999999</v>
      </c>
      <c r="H2">
        <f>B2/$G2</f>
        <v>4.334286279375011E-2</v>
      </c>
      <c r="I2">
        <f t="shared" ref="I2:K17" si="0">C2/$G2</f>
        <v>0.9067829162764165</v>
      </c>
      <c r="J2">
        <f t="shared" si="0"/>
        <v>4.9874220929833429E-2</v>
      </c>
      <c r="K2">
        <f t="shared" si="0"/>
        <v>0.86945946873666813</v>
      </c>
    </row>
    <row r="3" spans="1:11" x14ac:dyDescent="0.2">
      <c r="A3">
        <v>472</v>
      </c>
      <c r="B3">
        <v>156.441</v>
      </c>
      <c r="C3">
        <v>2612.56</v>
      </c>
      <c r="D3">
        <v>183.345</v>
      </c>
      <c r="E3">
        <v>2577.4699999999998</v>
      </c>
      <c r="G3">
        <f t="shared" ref="G3:G21" si="1">SUM(B3:D3)</f>
        <v>2952.3459999999995</v>
      </c>
      <c r="H3">
        <f t="shared" ref="H3:H21" si="2">B3/$G3</f>
        <v>5.2988707963091054E-2</v>
      </c>
      <c r="I3">
        <f t="shared" si="0"/>
        <v>0.88490983102928999</v>
      </c>
      <c r="J3">
        <f t="shared" si="0"/>
        <v>6.2101461007619034E-2</v>
      </c>
      <c r="K3">
        <f t="shared" si="0"/>
        <v>0.87302436774009562</v>
      </c>
    </row>
    <row r="4" spans="1:11" x14ac:dyDescent="0.2">
      <c r="A4">
        <v>564</v>
      </c>
      <c r="B4">
        <v>171.511</v>
      </c>
      <c r="C4">
        <v>2512.06</v>
      </c>
      <c r="D4">
        <v>195.11600000000001</v>
      </c>
      <c r="E4">
        <v>2637.52</v>
      </c>
      <c r="G4">
        <f t="shared" si="1"/>
        <v>2878.6869999999999</v>
      </c>
      <c r="H4">
        <f t="shared" si="2"/>
        <v>5.9579593057529356E-2</v>
      </c>
      <c r="I4">
        <f t="shared" si="0"/>
        <v>0.872640894963572</v>
      </c>
      <c r="J4">
        <f t="shared" si="0"/>
        <v>6.7779511978898727E-2</v>
      </c>
      <c r="K4">
        <f t="shared" si="0"/>
        <v>0.91622326428680856</v>
      </c>
    </row>
    <row r="5" spans="1:11" x14ac:dyDescent="0.2">
      <c r="A5">
        <v>655</v>
      </c>
      <c r="B5">
        <v>173.68799999999999</v>
      </c>
      <c r="C5">
        <v>2437.19</v>
      </c>
      <c r="D5">
        <v>224.77</v>
      </c>
      <c r="E5">
        <v>2693.37</v>
      </c>
      <c r="G5">
        <f t="shared" si="1"/>
        <v>2835.6480000000001</v>
      </c>
      <c r="H5">
        <f t="shared" si="2"/>
        <v>6.1251608098043191E-2</v>
      </c>
      <c r="I5">
        <f t="shared" si="0"/>
        <v>0.85948255918929284</v>
      </c>
      <c r="J5">
        <f t="shared" si="0"/>
        <v>7.9265832712663908E-2</v>
      </c>
      <c r="K5">
        <f t="shared" si="0"/>
        <v>0.94982522513372591</v>
      </c>
    </row>
    <row r="6" spans="1:11" x14ac:dyDescent="0.2">
      <c r="A6">
        <v>747</v>
      </c>
      <c r="B6">
        <v>191.93</v>
      </c>
      <c r="C6">
        <v>2493.21</v>
      </c>
      <c r="D6">
        <v>227.68600000000001</v>
      </c>
      <c r="E6">
        <v>2822.32</v>
      </c>
      <c r="G6">
        <f t="shared" si="1"/>
        <v>2912.826</v>
      </c>
      <c r="H6">
        <f t="shared" si="2"/>
        <v>6.5891337141319117E-2</v>
      </c>
      <c r="I6">
        <f t="shared" si="0"/>
        <v>0.85594196151778379</v>
      </c>
      <c r="J6">
        <f t="shared" si="0"/>
        <v>7.8166701340897121E-2</v>
      </c>
      <c r="K6">
        <f t="shared" si="0"/>
        <v>0.96892845641998526</v>
      </c>
    </row>
    <row r="7" spans="1:11" x14ac:dyDescent="0.2">
      <c r="A7">
        <v>839</v>
      </c>
      <c r="B7">
        <v>197.02600000000001</v>
      </c>
      <c r="C7">
        <v>2717.34</v>
      </c>
      <c r="D7">
        <v>236.75800000000001</v>
      </c>
      <c r="E7">
        <v>2469.19</v>
      </c>
      <c r="G7">
        <f t="shared" si="1"/>
        <v>3151.1239999999998</v>
      </c>
      <c r="H7">
        <f t="shared" si="2"/>
        <v>6.2525625776706992E-2</v>
      </c>
      <c r="I7">
        <f t="shared" si="0"/>
        <v>0.86233991426551293</v>
      </c>
      <c r="J7">
        <f t="shared" si="0"/>
        <v>7.5134459957780148E-2</v>
      </c>
      <c r="K7">
        <f t="shared" si="0"/>
        <v>0.78359023637279912</v>
      </c>
    </row>
    <row r="8" spans="1:11" x14ac:dyDescent="0.2">
      <c r="A8">
        <v>931</v>
      </c>
      <c r="B8">
        <v>210.6</v>
      </c>
      <c r="C8">
        <v>2297.79</v>
      </c>
      <c r="D8">
        <v>254.25200000000001</v>
      </c>
      <c r="E8">
        <v>2535.67</v>
      </c>
      <c r="G8">
        <f t="shared" si="1"/>
        <v>2762.6419999999998</v>
      </c>
      <c r="H8">
        <f t="shared" si="2"/>
        <v>7.6231375617977284E-2</v>
      </c>
      <c r="I8">
        <f t="shared" si="0"/>
        <v>0.83173643200964875</v>
      </c>
      <c r="J8">
        <f t="shared" si="0"/>
        <v>9.2032192372373992E-2</v>
      </c>
      <c r="K8">
        <f t="shared" si="0"/>
        <v>0.91784241316826443</v>
      </c>
    </row>
    <row r="9" spans="1:11" x14ac:dyDescent="0.2">
      <c r="A9">
        <v>1023</v>
      </c>
      <c r="B9">
        <v>214.55600000000001</v>
      </c>
      <c r="C9">
        <v>2476.77</v>
      </c>
      <c r="D9">
        <v>253.94</v>
      </c>
      <c r="E9">
        <v>2586.67</v>
      </c>
      <c r="G9">
        <f t="shared" si="1"/>
        <v>2945.2660000000001</v>
      </c>
      <c r="H9">
        <f t="shared" si="2"/>
        <v>7.2847749575080833E-2</v>
      </c>
      <c r="I9">
        <f t="shared" si="0"/>
        <v>0.8409325337677479</v>
      </c>
      <c r="J9">
        <f t="shared" si="0"/>
        <v>8.6219716657171194E-2</v>
      </c>
      <c r="K9">
        <f t="shared" si="0"/>
        <v>0.87824665072696317</v>
      </c>
    </row>
    <row r="10" spans="1:11" x14ac:dyDescent="0.2">
      <c r="A10">
        <v>1115</v>
      </c>
      <c r="B10">
        <v>216.38200000000001</v>
      </c>
      <c r="C10">
        <v>2614.4</v>
      </c>
      <c r="D10">
        <v>281.00599999999997</v>
      </c>
      <c r="E10">
        <v>2573.79</v>
      </c>
      <c r="G10">
        <f t="shared" si="1"/>
        <v>3111.788</v>
      </c>
      <c r="H10">
        <f t="shared" si="2"/>
        <v>6.9536228046383625E-2</v>
      </c>
      <c r="I10">
        <f t="shared" si="0"/>
        <v>0.84016006231786999</v>
      </c>
      <c r="J10">
        <f t="shared" si="0"/>
        <v>9.0303709635746382E-2</v>
      </c>
      <c r="K10">
        <f t="shared" si="0"/>
        <v>0.82710968742086544</v>
      </c>
    </row>
    <row r="11" spans="1:11" x14ac:dyDescent="0.2">
      <c r="A11">
        <v>1207</v>
      </c>
      <c r="B11">
        <v>225.23099999999999</v>
      </c>
      <c r="C11">
        <v>2673.57</v>
      </c>
      <c r="D11">
        <v>257.24</v>
      </c>
      <c r="E11">
        <v>2651.59</v>
      </c>
      <c r="G11">
        <f t="shared" si="1"/>
        <v>3156.0410000000002</v>
      </c>
      <c r="H11">
        <f t="shared" si="2"/>
        <v>7.136504246934687E-2</v>
      </c>
      <c r="I11">
        <f t="shared" si="0"/>
        <v>0.84712777812455542</v>
      </c>
      <c r="J11">
        <f t="shared" si="0"/>
        <v>8.1507179406097696E-2</v>
      </c>
      <c r="K11">
        <f t="shared" si="0"/>
        <v>0.84016335655968977</v>
      </c>
    </row>
    <row r="12" spans="1:11" x14ac:dyDescent="0.2">
      <c r="A12">
        <v>1298</v>
      </c>
      <c r="B12">
        <v>210.779</v>
      </c>
      <c r="C12">
        <v>2484.9699999999998</v>
      </c>
      <c r="D12">
        <v>270.822</v>
      </c>
      <c r="E12">
        <v>2509.52</v>
      </c>
      <c r="G12">
        <f t="shared" si="1"/>
        <v>2966.5709999999999</v>
      </c>
      <c r="H12">
        <f t="shared" si="2"/>
        <v>7.1051392331415636E-2</v>
      </c>
      <c r="I12">
        <f t="shared" si="0"/>
        <v>0.83765734917519241</v>
      </c>
      <c r="J12">
        <f t="shared" si="0"/>
        <v>9.1291258493391869E-2</v>
      </c>
      <c r="K12">
        <f t="shared" si="0"/>
        <v>0.84593289693723828</v>
      </c>
    </row>
    <row r="13" spans="1:11" x14ac:dyDescent="0.2">
      <c r="A13">
        <v>1390</v>
      </c>
      <c r="B13">
        <v>220.36799999999999</v>
      </c>
      <c r="C13">
        <v>2443.61</v>
      </c>
      <c r="D13">
        <v>280.13799999999998</v>
      </c>
      <c r="E13">
        <v>2786.43</v>
      </c>
      <c r="G13">
        <f t="shared" si="1"/>
        <v>2944.116</v>
      </c>
      <c r="H13">
        <f t="shared" si="2"/>
        <v>7.4850311604569925E-2</v>
      </c>
      <c r="I13">
        <f t="shared" si="0"/>
        <v>0.82999786693187361</v>
      </c>
      <c r="J13">
        <f t="shared" si="0"/>
        <v>9.5151821463556455E-2</v>
      </c>
      <c r="K13">
        <f t="shared" si="0"/>
        <v>0.94644028971684535</v>
      </c>
    </row>
    <row r="14" spans="1:11" x14ac:dyDescent="0.2">
      <c r="A14">
        <v>1482</v>
      </c>
      <c r="B14">
        <v>240.761</v>
      </c>
      <c r="C14">
        <v>2464.81</v>
      </c>
      <c r="D14">
        <v>279.8</v>
      </c>
      <c r="E14">
        <v>2531.37</v>
      </c>
      <c r="G14">
        <f t="shared" si="1"/>
        <v>2985.3710000000001</v>
      </c>
      <c r="H14">
        <f t="shared" si="2"/>
        <v>8.0646927969756518E-2</v>
      </c>
      <c r="I14">
        <f t="shared" si="0"/>
        <v>0.82562937738726605</v>
      </c>
      <c r="J14">
        <f t="shared" si="0"/>
        <v>9.3723694642977376E-2</v>
      </c>
      <c r="K14">
        <f t="shared" si="0"/>
        <v>0.84792476378982706</v>
      </c>
    </row>
    <row r="15" spans="1:11" x14ac:dyDescent="0.2">
      <c r="A15">
        <v>1574</v>
      </c>
      <c r="B15">
        <v>227.58699999999999</v>
      </c>
      <c r="C15">
        <v>2469.34</v>
      </c>
      <c r="D15">
        <v>284.18700000000001</v>
      </c>
      <c r="E15">
        <v>2690.19</v>
      </c>
      <c r="G15">
        <f t="shared" si="1"/>
        <v>2981.114</v>
      </c>
      <c r="H15">
        <f t="shared" si="2"/>
        <v>7.6342937573001229E-2</v>
      </c>
      <c r="I15">
        <f t="shared" si="0"/>
        <v>0.82832793378582636</v>
      </c>
      <c r="J15">
        <f t="shared" si="0"/>
        <v>9.5329128641172392E-2</v>
      </c>
      <c r="K15">
        <f t="shared" si="0"/>
        <v>0.90241097790960023</v>
      </c>
    </row>
    <row r="16" spans="1:11" x14ac:dyDescent="0.2">
      <c r="A16">
        <v>1666</v>
      </c>
      <c r="B16">
        <v>227.74</v>
      </c>
      <c r="C16">
        <v>2467.65</v>
      </c>
      <c r="D16">
        <v>277.411</v>
      </c>
      <c r="E16">
        <v>2437.04</v>
      </c>
      <c r="G16">
        <f t="shared" si="1"/>
        <v>2972.8010000000004</v>
      </c>
      <c r="H16">
        <f t="shared" si="2"/>
        <v>7.6607885963439856E-2</v>
      </c>
      <c r="I16">
        <f t="shared" si="0"/>
        <v>0.83007574338141021</v>
      </c>
      <c r="J16">
        <f t="shared" si="0"/>
        <v>9.3316370655149791E-2</v>
      </c>
      <c r="K16">
        <f t="shared" si="0"/>
        <v>0.81977905685580688</v>
      </c>
    </row>
    <row r="17" spans="1:11" x14ac:dyDescent="0.2">
      <c r="A17">
        <v>1758</v>
      </c>
      <c r="B17">
        <v>235.16300000000001</v>
      </c>
      <c r="C17">
        <v>2489.41</v>
      </c>
      <c r="D17">
        <v>275.63400000000001</v>
      </c>
      <c r="E17">
        <v>2619.58</v>
      </c>
      <c r="G17">
        <f t="shared" si="1"/>
        <v>3000.2069999999999</v>
      </c>
      <c r="H17">
        <f t="shared" si="2"/>
        <v>7.8382258290844609E-2</v>
      </c>
      <c r="I17">
        <f t="shared" si="0"/>
        <v>0.82974608085375445</v>
      </c>
      <c r="J17">
        <f t="shared" si="0"/>
        <v>9.187166085540098E-2</v>
      </c>
      <c r="K17">
        <f t="shared" si="0"/>
        <v>0.87313308715032001</v>
      </c>
    </row>
    <row r="18" spans="1:11" x14ac:dyDescent="0.2">
      <c r="A18">
        <v>1849</v>
      </c>
      <c r="B18">
        <v>231.012</v>
      </c>
      <c r="C18">
        <v>2421.2600000000002</v>
      </c>
      <c r="D18">
        <v>283.709</v>
      </c>
      <c r="E18">
        <v>2548.87</v>
      </c>
      <c r="G18">
        <f t="shared" si="1"/>
        <v>2935.9810000000002</v>
      </c>
      <c r="H18">
        <f t="shared" si="2"/>
        <v>7.8683070496709612E-2</v>
      </c>
      <c r="I18">
        <f t="shared" ref="I18:I21" si="3">C18/$G18</f>
        <v>0.82468517337135361</v>
      </c>
      <c r="J18">
        <f t="shared" ref="J18:J21" si="4">D18/$G18</f>
        <v>9.6631756131936822E-2</v>
      </c>
      <c r="K18">
        <f t="shared" ref="K18:K21" si="5">E18/$G18</f>
        <v>0.86814935110274882</v>
      </c>
    </row>
    <row r="19" spans="1:11" x14ac:dyDescent="0.2">
      <c r="A19">
        <v>1941</v>
      </c>
      <c r="B19">
        <v>236.989</v>
      </c>
      <c r="C19">
        <v>2489.46</v>
      </c>
      <c r="D19">
        <v>280.58800000000002</v>
      </c>
      <c r="E19">
        <v>2475.48</v>
      </c>
      <c r="G19">
        <f t="shared" si="1"/>
        <v>3007.0370000000003</v>
      </c>
      <c r="H19">
        <f t="shared" si="2"/>
        <v>7.8811467900128926E-2</v>
      </c>
      <c r="I19">
        <f t="shared" si="3"/>
        <v>0.82787807399775915</v>
      </c>
      <c r="J19">
        <f t="shared" si="4"/>
        <v>9.3310458102111818E-2</v>
      </c>
      <c r="K19">
        <f t="shared" si="5"/>
        <v>0.82322897922439919</v>
      </c>
    </row>
    <row r="20" spans="1:11" x14ac:dyDescent="0.2">
      <c r="A20">
        <v>2033</v>
      </c>
      <c r="B20">
        <v>230.72200000000001</v>
      </c>
      <c r="C20">
        <v>2558.85</v>
      </c>
      <c r="D20">
        <v>294.52600000000001</v>
      </c>
      <c r="E20">
        <v>2677.62</v>
      </c>
      <c r="G20">
        <f t="shared" si="1"/>
        <v>3084.098</v>
      </c>
      <c r="H20">
        <f t="shared" si="2"/>
        <v>7.4810203826207858E-2</v>
      </c>
      <c r="I20">
        <f t="shared" si="3"/>
        <v>0.82969153379691563</v>
      </c>
      <c r="J20">
        <f t="shared" si="4"/>
        <v>9.5498262376876489E-2</v>
      </c>
      <c r="K20">
        <f t="shared" si="5"/>
        <v>0.86820198320546227</v>
      </c>
    </row>
    <row r="21" spans="1:11" x14ac:dyDescent="0.2">
      <c r="A21">
        <v>2125</v>
      </c>
      <c r="B21">
        <v>244.49700000000001</v>
      </c>
      <c r="C21">
        <v>2518.04</v>
      </c>
      <c r="D21">
        <v>287.52600000000001</v>
      </c>
      <c r="E21">
        <v>2536.66</v>
      </c>
      <c r="G21">
        <f t="shared" si="1"/>
        <v>3050.0629999999996</v>
      </c>
      <c r="H21">
        <f t="shared" si="2"/>
        <v>8.0161295028987944E-2</v>
      </c>
      <c r="I21">
        <f t="shared" si="3"/>
        <v>0.82556983249198468</v>
      </c>
      <c r="J21">
        <f t="shared" si="4"/>
        <v>9.4268872479027502E-2</v>
      </c>
      <c r="K21">
        <f t="shared" si="5"/>
        <v>0.83167462442579054</v>
      </c>
    </row>
    <row r="24" spans="1:11" x14ac:dyDescent="0.2">
      <c r="A24" t="s">
        <v>0</v>
      </c>
      <c r="B24" t="s">
        <v>40</v>
      </c>
    </row>
    <row r="25" spans="1:11" x14ac:dyDescent="0.2">
      <c r="A25">
        <v>380</v>
      </c>
      <c r="B25">
        <v>14905.7</v>
      </c>
    </row>
    <row r="26" spans="1:11" x14ac:dyDescent="0.2">
      <c r="A26">
        <v>472</v>
      </c>
      <c r="B26">
        <v>11825</v>
      </c>
    </row>
    <row r="27" spans="1:11" x14ac:dyDescent="0.2">
      <c r="A27">
        <v>564</v>
      </c>
      <c r="B27">
        <v>9378.99</v>
      </c>
    </row>
    <row r="28" spans="1:11" x14ac:dyDescent="0.2">
      <c r="A28">
        <v>655</v>
      </c>
      <c r="B28">
        <v>7498.36</v>
      </c>
    </row>
    <row r="29" spans="1:11" x14ac:dyDescent="0.2">
      <c r="A29">
        <v>747</v>
      </c>
      <c r="B29">
        <v>5980.66</v>
      </c>
    </row>
    <row r="30" spans="1:11" x14ac:dyDescent="0.2">
      <c r="A30">
        <v>839</v>
      </c>
      <c r="B30">
        <v>4749.05</v>
      </c>
    </row>
    <row r="31" spans="1:11" x14ac:dyDescent="0.2">
      <c r="A31">
        <v>931</v>
      </c>
      <c r="B31">
        <v>3753.88</v>
      </c>
    </row>
    <row r="32" spans="1:11" x14ac:dyDescent="0.2">
      <c r="A32">
        <v>1023</v>
      </c>
      <c r="B32">
        <v>2993.09</v>
      </c>
    </row>
    <row r="33" spans="1:2" x14ac:dyDescent="0.2">
      <c r="A33">
        <v>1115</v>
      </c>
      <c r="B33">
        <v>2365.6999999999998</v>
      </c>
    </row>
    <row r="34" spans="1:2" x14ac:dyDescent="0.2">
      <c r="A34">
        <v>1207</v>
      </c>
      <c r="B34">
        <v>2017.5</v>
      </c>
    </row>
    <row r="35" spans="1:2" x14ac:dyDescent="0.2">
      <c r="A35">
        <v>1298</v>
      </c>
      <c r="B35">
        <v>1593.02</v>
      </c>
    </row>
    <row r="36" spans="1:2" x14ac:dyDescent="0.2">
      <c r="A36">
        <v>1390</v>
      </c>
      <c r="B36">
        <v>1277.71</v>
      </c>
    </row>
    <row r="37" spans="1:2" x14ac:dyDescent="0.2">
      <c r="A37">
        <v>1482</v>
      </c>
      <c r="B37">
        <v>1020.9</v>
      </c>
    </row>
    <row r="38" spans="1:2" x14ac:dyDescent="0.2">
      <c r="A38">
        <v>1574</v>
      </c>
      <c r="B38">
        <v>816.61599999999999</v>
      </c>
    </row>
    <row r="39" spans="1:2" x14ac:dyDescent="0.2">
      <c r="A39">
        <v>1666</v>
      </c>
      <c r="B39">
        <v>655.82100000000003</v>
      </c>
    </row>
    <row r="40" spans="1:2" x14ac:dyDescent="0.2">
      <c r="A40">
        <v>1758</v>
      </c>
      <c r="B40">
        <v>532.07399999999996</v>
      </c>
    </row>
    <row r="41" spans="1:2" x14ac:dyDescent="0.2">
      <c r="A41">
        <v>1849</v>
      </c>
      <c r="B41">
        <v>416.94400000000002</v>
      </c>
    </row>
    <row r="42" spans="1:2" x14ac:dyDescent="0.2">
      <c r="A42">
        <v>1941</v>
      </c>
      <c r="B42">
        <v>159.70599999999999</v>
      </c>
    </row>
    <row r="43" spans="1:2" x14ac:dyDescent="0.2">
      <c r="A43">
        <v>2033</v>
      </c>
      <c r="B43">
        <v>230.071</v>
      </c>
    </row>
    <row r="44" spans="1:2" x14ac:dyDescent="0.2">
      <c r="A44">
        <v>2125</v>
      </c>
      <c r="B44">
        <v>192.21799999999999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25_1</vt:lpstr>
      <vt:lpstr>33_1</vt:lpstr>
      <vt:lpstr>42_1</vt:lpstr>
      <vt:lpstr>48_1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2024-04-27T01:33:50Z</dcterms:created>
  <dcterms:modified xsi:type="dcterms:W3CDTF">2024-04-27T21:12:56Z</dcterms:modified>
</cp:coreProperties>
</file>