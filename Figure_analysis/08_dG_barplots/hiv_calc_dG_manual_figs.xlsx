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Lucks_Lab_Papers/In_Progress/88_EKC_Probing_model/Manuscript/Data_elements/08_dG_barplots/"/>
    </mc:Choice>
  </mc:AlternateContent>
  <xr:revisionPtr revIDLastSave="0" documentId="13_ncr:1_{AB8BC4D0-0A70-CD47-BC4B-4510AE03EAAC}" xr6:coauthVersionLast="47" xr6:coauthVersionMax="47" xr10:uidLastSave="{00000000-0000-0000-0000-000000000000}"/>
  <bookViews>
    <workbookView xWindow="0" yWindow="760" windowWidth="29400" windowHeight="17160" xr2:uid="{E8110BA2-7ABF-B840-A7F9-EE3284B4F035}"/>
  </bookViews>
  <sheets>
    <sheet name="hiv_calc_dG_manual" sheetId="1" r:id="rId1"/>
    <sheet name="Sheet1" sheetId="2" r:id="rId2"/>
  </sheets>
  <definedNames>
    <definedName name="_xlnm._FilterDatabase" localSheetId="0" hidden="1">hiv_calc_dG_manual!$A$1:$L$164</definedName>
    <definedName name="_xlchart.v1.0" hidden="1">hiv_calc_dG_manual!$I$14:$I$15</definedName>
    <definedName name="_xlchart.v1.1" hidden="1">hiv_calc_dG_manual!$O$189:$O$193</definedName>
    <definedName name="_xlchart.v1.10" hidden="1">hiv_calc_dG_manual!$P$189:$P$193</definedName>
    <definedName name="_xlchart.v1.11" hidden="1">hiv_calc_dG_manual!$I$14:$I$15</definedName>
    <definedName name="_xlchart.v1.12" hidden="1">hiv_calc_dG_manual!$O$189:$O$193</definedName>
    <definedName name="_xlchart.v1.13" hidden="1">hiv_calc_dG_manual!$P$189:$P$193</definedName>
    <definedName name="_xlchart.v1.14" hidden="1">hiv_calc_dG_manual!$AH$14:$AH$15</definedName>
    <definedName name="_xlchart.v1.15" hidden="1">hiv_calc_dG_manual!$O$189:$O$193</definedName>
    <definedName name="_xlchart.v1.16" hidden="1">hiv_calc_dG_manual!$P$189:$P$193</definedName>
    <definedName name="_xlchart.v1.17" hidden="1">hiv_calc_dG_manual!$AH$14:$AH$15</definedName>
    <definedName name="_xlchart.v1.18" hidden="1">hiv_calc_dG_manual!$O$189:$O$193</definedName>
    <definedName name="_xlchart.v1.19" hidden="1">hiv_calc_dG_manual!$P$189:$P$193</definedName>
    <definedName name="_xlchart.v1.2" hidden="1">hiv_calc_dG_manual!$P$189:$P$193</definedName>
    <definedName name="_xlchart.v1.3" hidden="1">hiv_calc_dG_manual!$O$189:$O$193</definedName>
    <definedName name="_xlchart.v1.4" hidden="1">hiv_calc_dG_manual!$P$189:$P$193</definedName>
    <definedName name="_xlchart.v1.5" hidden="1">hiv_calc_dG_manual!$I$14:$I$15</definedName>
    <definedName name="_xlchart.v1.6" hidden="1">hiv_calc_dG_manual!$O$189:$O$193</definedName>
    <definedName name="_xlchart.v1.7" hidden="1">hiv_calc_dG_manual!$P$189:$P$193</definedName>
    <definedName name="_xlchart.v1.8" hidden="1">hiv_calc_dG_manual!$AH$14:$AH$15</definedName>
    <definedName name="_xlchart.v1.9" hidden="1">hiv_calc_dG_manual!$O$189:$O$193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9" i="1" l="1"/>
  <c r="N10" i="1"/>
  <c r="AA190" i="1"/>
  <c r="AA191" i="1"/>
  <c r="AA192" i="1"/>
  <c r="AA193" i="1"/>
  <c r="X189" i="1"/>
  <c r="B30" i="2"/>
  <c r="K167" i="1"/>
  <c r="J214" i="1"/>
  <c r="K214" i="1"/>
  <c r="L214" i="1"/>
  <c r="J215" i="1"/>
  <c r="K215" i="1"/>
  <c r="L215" i="1"/>
  <c r="I215" i="1"/>
  <c r="I214" i="1"/>
  <c r="B31" i="2"/>
  <c r="D27" i="2" s="1"/>
  <c r="B21" i="2"/>
  <c r="B20" i="2"/>
  <c r="Z193" i="1"/>
  <c r="Y193" i="1"/>
  <c r="Z192" i="1"/>
  <c r="Y192" i="1"/>
  <c r="Z191" i="1"/>
  <c r="Y191" i="1"/>
  <c r="Z190" i="1"/>
  <c r="Y190" i="1"/>
  <c r="Z189" i="1"/>
  <c r="Y189" i="1"/>
  <c r="X193" i="1"/>
  <c r="X192" i="1"/>
  <c r="X191" i="1"/>
  <c r="X190" i="1"/>
  <c r="W193" i="1"/>
  <c r="W192" i="1"/>
  <c r="W191" i="1"/>
  <c r="W190" i="1"/>
  <c r="W189" i="1"/>
  <c r="Q193" i="1"/>
  <c r="Q192" i="1"/>
  <c r="Q191" i="1"/>
  <c r="Q190" i="1"/>
  <c r="Q189" i="1"/>
  <c r="S193" i="1"/>
  <c r="S192" i="1"/>
  <c r="S191" i="1"/>
  <c r="S190" i="1"/>
  <c r="S189" i="1"/>
  <c r="R193" i="1"/>
  <c r="R192" i="1"/>
  <c r="R191" i="1"/>
  <c r="R190" i="1"/>
  <c r="R189" i="1"/>
  <c r="P193" i="1"/>
  <c r="P192" i="1"/>
  <c r="P191" i="1"/>
  <c r="P190" i="1"/>
  <c r="P189" i="1"/>
  <c r="B10" i="2"/>
  <c r="B9" i="2"/>
  <c r="K191" i="1"/>
  <c r="L191" i="1"/>
  <c r="K190" i="1"/>
  <c r="L190" i="1"/>
  <c r="K189" i="1"/>
  <c r="L189" i="1"/>
  <c r="J191" i="1"/>
  <c r="I191" i="1"/>
  <c r="J190" i="1"/>
  <c r="J189" i="1"/>
  <c r="I190" i="1"/>
  <c r="I189" i="1"/>
  <c r="X170" i="1"/>
  <c r="Y170" i="1"/>
  <c r="Z170" i="1"/>
  <c r="W170" i="1"/>
  <c r="Y169" i="1"/>
  <c r="Z169" i="1"/>
  <c r="X169" i="1"/>
  <c r="W169" i="1"/>
  <c r="Z168" i="1"/>
  <c r="X168" i="1"/>
  <c r="W168" i="1"/>
  <c r="Y168" i="1"/>
  <c r="Y167" i="1"/>
  <c r="Z167" i="1"/>
  <c r="X167" i="1"/>
  <c r="W167" i="1"/>
  <c r="R168" i="1"/>
  <c r="S168" i="1"/>
  <c r="Q168" i="1"/>
  <c r="P168" i="1"/>
  <c r="S167" i="1"/>
  <c r="R167" i="1"/>
  <c r="Q167" i="1"/>
  <c r="P167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J167" i="1"/>
  <c r="I167" i="1"/>
  <c r="D3" i="2" l="1"/>
  <c r="D14" i="2"/>
  <c r="D26" i="2"/>
  <c r="D17" i="2"/>
  <c r="D16" i="2"/>
  <c r="D7" i="2"/>
  <c r="D18" i="2"/>
  <c r="D6" i="2"/>
  <c r="D5" i="2"/>
  <c r="D4" i="2"/>
  <c r="D15" i="2"/>
  <c r="D24" i="2"/>
  <c r="D28" i="2"/>
  <c r="D25" i="2"/>
</calcChain>
</file>

<file path=xl/sharedStrings.xml><?xml version="1.0" encoding="utf-8"?>
<sst xmlns="http://schemas.openxmlformats.org/spreadsheetml/2006/main" count="594" uniqueCount="49">
  <si>
    <t>site</t>
  </si>
  <si>
    <t>disp_name</t>
  </si>
  <si>
    <t>lnkobs</t>
  </si>
  <si>
    <t>lnkobs_err</t>
  </si>
  <si>
    <t>lnkadd</t>
  </si>
  <si>
    <t>lnkadd_err</t>
  </si>
  <si>
    <t>base</t>
  </si>
  <si>
    <t>site_nt</t>
  </si>
  <si>
    <t>dG</t>
  </si>
  <si>
    <t>dG_err</t>
  </si>
  <si>
    <t>KKp1</t>
  </si>
  <si>
    <t>KKp1_err</t>
  </si>
  <si>
    <t>hiv_wt</t>
  </si>
  <si>
    <t>A</t>
  </si>
  <si>
    <t>2A</t>
  </si>
  <si>
    <t>3A</t>
  </si>
  <si>
    <t>C</t>
  </si>
  <si>
    <t>19C</t>
  </si>
  <si>
    <t>20A</t>
  </si>
  <si>
    <t>22A</t>
  </si>
  <si>
    <t>24C</t>
  </si>
  <si>
    <t>27A</t>
  </si>
  <si>
    <t>30C</t>
  </si>
  <si>
    <t>35A</t>
  </si>
  <si>
    <t>37C</t>
  </si>
  <si>
    <t>39C</t>
  </si>
  <si>
    <t>41C</t>
  </si>
  <si>
    <t>44C</t>
  </si>
  <si>
    <t>45C</t>
  </si>
  <si>
    <t>61A</t>
  </si>
  <si>
    <t>62A</t>
  </si>
  <si>
    <t>64C</t>
  </si>
  <si>
    <t>hiv_gs</t>
  </si>
  <si>
    <t>29C</t>
  </si>
  <si>
    <t>33C</t>
  </si>
  <si>
    <t>hiv_a35g</t>
  </si>
  <si>
    <t>hiv_c30u</t>
  </si>
  <si>
    <t>hiv_es2</t>
  </si>
  <si>
    <t>53C</t>
  </si>
  <si>
    <t>hiv_uucg</t>
  </si>
  <si>
    <t>beta</t>
  </si>
  <si>
    <t>beta_err</t>
  </si>
  <si>
    <t>GS</t>
  </si>
  <si>
    <t>ES2</t>
  </si>
  <si>
    <t>%GS</t>
  </si>
  <si>
    <t>4U_a8c</t>
  </si>
  <si>
    <t>4U_wt</t>
  </si>
  <si>
    <t>nmr</t>
  </si>
  <si>
    <t>x-axis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</si>
</sst>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073B4"/>
      <color rgb="FFC54F51"/>
      <color rgb="FF55A968"/>
      <color rgb="FFDE8353"/>
      <color rgb="FF4B72B0"/>
      <color rgb="FFCE5A1A"/>
      <color rgb="FF2657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7294-9443-80EA-677FFA714959}"/>
              </c:ext>
            </c:extLst>
          </c:dPt>
          <c:dPt>
            <c:idx val="1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94-9443-80EA-677FFA714959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hiv_calc_dG_manual!$Q$167:$Q$168</c:f>
                <c:numCache>
                  <c:formatCode>General</c:formatCode>
                  <c:ptCount val="2"/>
                  <c:pt idx="0">
                    <c:v>0.19822253676740542</c:v>
                  </c:pt>
                  <c:pt idx="1">
                    <c:v>0.25031326712427776</c:v>
                  </c:pt>
                </c:numCache>
              </c:numRef>
            </c:plus>
            <c:minus>
              <c:numRef>
                <c:f>hiv_calc_dG_manual!$Q$167:$Q$168</c:f>
                <c:numCache>
                  <c:formatCode>General</c:formatCode>
                  <c:ptCount val="2"/>
                  <c:pt idx="0">
                    <c:v>0.19822253676740542</c:v>
                  </c:pt>
                  <c:pt idx="1">
                    <c:v>0.25031326712427776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hiv_calc_dG_manual!$O$167:$O$168</c:f>
              <c:strCache>
                <c:ptCount val="2"/>
                <c:pt idx="0">
                  <c:v>hiv_wt</c:v>
                </c:pt>
                <c:pt idx="1">
                  <c:v>hiv_es2</c:v>
                </c:pt>
              </c:strCache>
            </c:strRef>
          </c:cat>
          <c:val>
            <c:numRef>
              <c:f>hiv_calc_dG_manual!$P$167:$P$168</c:f>
              <c:numCache>
                <c:formatCode>General</c:formatCode>
                <c:ptCount val="2"/>
                <c:pt idx="0">
                  <c:v>1.8314826810142</c:v>
                </c:pt>
                <c:pt idx="1">
                  <c:v>2.59776786383188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A-A943-9C12-0873B7B99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∆G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BD8F-7446-A6C3-1D599F586342}"/>
              </c:ext>
            </c:extLst>
          </c:dPt>
          <c:dPt>
            <c:idx val="1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8F-7446-A6C3-1D599F586342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hiv_calc_dG_manual!$S$167:$S$168</c:f>
                <c:numCache>
                  <c:formatCode>General</c:formatCode>
                  <c:ptCount val="2"/>
                  <c:pt idx="0">
                    <c:v>1.4487160172995516E-2</c:v>
                  </c:pt>
                  <c:pt idx="1">
                    <c:v>5.076726914647888E-3</c:v>
                  </c:pt>
                </c:numCache>
              </c:numRef>
            </c:plus>
            <c:minus>
              <c:numRef>
                <c:f>hiv_calc_dG_manual!$S$167:$S$168</c:f>
                <c:numCache>
                  <c:formatCode>General</c:formatCode>
                  <c:ptCount val="2"/>
                  <c:pt idx="0">
                    <c:v>1.4487160172995516E-2</c:v>
                  </c:pt>
                  <c:pt idx="1">
                    <c:v>5.076726914647888E-3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hiv_calc_dG_manual!$O$167:$O$168</c:f>
              <c:strCache>
                <c:ptCount val="2"/>
                <c:pt idx="0">
                  <c:v>hiv_wt</c:v>
                </c:pt>
                <c:pt idx="1">
                  <c:v>hiv_es2</c:v>
                </c:pt>
              </c:strCache>
            </c:strRef>
          </c:cat>
          <c:val>
            <c:numRef>
              <c:f>hiv_calc_dG_manual!$R$167:$R$168</c:f>
              <c:numCache>
                <c:formatCode>General</c:formatCode>
                <c:ptCount val="2"/>
                <c:pt idx="0">
                  <c:v>4.3707444016121949E-2</c:v>
                </c:pt>
                <c:pt idx="1">
                  <c:v>1.8115082273287297E-2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3-524F-9745-8AD0A9D1A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hiv_calc_dG_manual!$Z$167:$Z$170</c:f>
                <c:numCache>
                  <c:formatCode>General</c:formatCode>
                  <c:ptCount val="4"/>
                  <c:pt idx="0">
                    <c:v>2.2176436102019338E-2</c:v>
                  </c:pt>
                  <c:pt idx="1">
                    <c:v>2.7027087530358755E-2</c:v>
                  </c:pt>
                  <c:pt idx="2">
                    <c:v>9.0127125566434405E-3</c:v>
                  </c:pt>
                  <c:pt idx="3">
                    <c:v>2.9969955031626701E-3</c:v>
                  </c:pt>
                </c:numCache>
              </c:numRef>
            </c:plus>
            <c:minus>
              <c:numRef>
                <c:f>hiv_calc_dG_manual!$Z$167:$Z$170</c:f>
                <c:numCache>
                  <c:formatCode>General</c:formatCode>
                  <c:ptCount val="4"/>
                  <c:pt idx="0">
                    <c:v>2.2176436102019338E-2</c:v>
                  </c:pt>
                  <c:pt idx="1">
                    <c:v>2.7027087530358755E-2</c:v>
                  </c:pt>
                  <c:pt idx="2">
                    <c:v>9.0127125566434405E-3</c:v>
                  </c:pt>
                  <c:pt idx="3">
                    <c:v>2.9969955031626701E-3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hiv_calc_dG_manual!$V$167:$V$170</c:f>
              <c:strCache>
                <c:ptCount val="4"/>
                <c:pt idx="0">
                  <c:v>hiv_uucg</c:v>
                </c:pt>
                <c:pt idx="1">
                  <c:v>hiv_a35g</c:v>
                </c:pt>
                <c:pt idx="2">
                  <c:v>hiv_c30u</c:v>
                </c:pt>
                <c:pt idx="3">
                  <c:v>hiv_es2</c:v>
                </c:pt>
              </c:strCache>
            </c:strRef>
          </c:cat>
          <c:val>
            <c:numRef>
              <c:f>hiv_calc_dG_manual!$Y$167:$Y$170</c:f>
              <c:numCache>
                <c:formatCode>General</c:formatCode>
                <c:ptCount val="4"/>
                <c:pt idx="0">
                  <c:v>4.2912809206602003E-2</c:v>
                </c:pt>
                <c:pt idx="1">
                  <c:v>0.45218473979787893</c:v>
                </c:pt>
                <c:pt idx="2">
                  <c:v>1.6880168839923E-2</c:v>
                </c:pt>
                <c:pt idx="3">
                  <c:v>4.6681015644776799E-3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C-9740-9F1E-5278A3253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hiv_calc_dG_manual!$X$167:$X$170</c:f>
                <c:numCache>
                  <c:formatCode>General</c:formatCode>
                  <c:ptCount val="4"/>
                  <c:pt idx="0">
                    <c:v>0.36815254064077557</c:v>
                  </c:pt>
                  <c:pt idx="1">
                    <c:v>0.3477338243781613</c:v>
                  </c:pt>
                  <c:pt idx="2">
                    <c:v>0.3214452895768955</c:v>
                  </c:pt>
                  <c:pt idx="3">
                    <c:v>0.382168770502539</c:v>
                  </c:pt>
                </c:numCache>
              </c:numRef>
            </c:plus>
            <c:minus>
              <c:numRef>
                <c:f>hiv_calc_dG_manual!$X$167:$X$170</c:f>
                <c:numCache>
                  <c:formatCode>General</c:formatCode>
                  <c:ptCount val="4"/>
                  <c:pt idx="0">
                    <c:v>0.36815254064077557</c:v>
                  </c:pt>
                  <c:pt idx="1">
                    <c:v>0.3477338243781613</c:v>
                  </c:pt>
                  <c:pt idx="2">
                    <c:v>0.3214452895768955</c:v>
                  </c:pt>
                  <c:pt idx="3">
                    <c:v>0.382168770502539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hiv_calc_dG_manual!$V$167:$V$170</c:f>
              <c:strCache>
                <c:ptCount val="4"/>
                <c:pt idx="0">
                  <c:v>hiv_uucg</c:v>
                </c:pt>
                <c:pt idx="1">
                  <c:v>hiv_a35g</c:v>
                </c:pt>
                <c:pt idx="2">
                  <c:v>hiv_c30u</c:v>
                </c:pt>
                <c:pt idx="3">
                  <c:v>hiv_es2</c:v>
                </c:pt>
              </c:strCache>
            </c:strRef>
          </c:cat>
          <c:val>
            <c:numRef>
              <c:f>hiv_calc_dG_manual!$W$167:$W$170</c:f>
              <c:numCache>
                <c:formatCode>General</c:formatCode>
                <c:ptCount val="4"/>
                <c:pt idx="0">
                  <c:v>1.8613199895143451</c:v>
                </c:pt>
                <c:pt idx="1">
                  <c:v>3.4178026945178099</c:v>
                </c:pt>
                <c:pt idx="2">
                  <c:v>2.4082117644115599</c:v>
                </c:pt>
                <c:pt idx="3">
                  <c:v>3.17709613278222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7246-A124-05A0C6511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∆G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07E-7F4A-BB69-BC6A8358DDD6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7E-7F4A-BB69-BC6A8358DDD6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07E-7F4A-BB69-BC6A8358DDD6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7E-7F4A-BB69-BC6A8358DDD6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07E-7F4A-BB69-BC6A8358DDD6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hiv_calc_dG_manual!$L$167:$L$171</c:f>
                <c:numCache>
                  <c:formatCode>General</c:formatCode>
                  <c:ptCount val="5"/>
                  <c:pt idx="0">
                    <c:v>3.2854907377899999E-2</c:v>
                  </c:pt>
                  <c:pt idx="1">
                    <c:v>5.3036147231395527E-2</c:v>
                  </c:pt>
                  <c:pt idx="2">
                    <c:v>7.24108312320592E-2</c:v>
                  </c:pt>
                  <c:pt idx="3">
                    <c:v>3.3312418117962608E-2</c:v>
                  </c:pt>
                  <c:pt idx="4">
                    <c:v>2.9351973564424368E-2</c:v>
                  </c:pt>
                </c:numCache>
              </c:numRef>
            </c:plus>
            <c:minus>
              <c:numRef>
                <c:f>hiv_calc_dG_manual!$L$167:$L$171</c:f>
                <c:numCache>
                  <c:formatCode>General</c:formatCode>
                  <c:ptCount val="5"/>
                  <c:pt idx="0">
                    <c:v>3.2854907377899999E-2</c:v>
                  </c:pt>
                  <c:pt idx="1">
                    <c:v>5.3036147231395527E-2</c:v>
                  </c:pt>
                  <c:pt idx="2">
                    <c:v>7.24108312320592E-2</c:v>
                  </c:pt>
                  <c:pt idx="3">
                    <c:v>3.3312418117962608E-2</c:v>
                  </c:pt>
                  <c:pt idx="4">
                    <c:v>2.9351973564424368E-2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hiv_calc_dG_manual!$H$167:$H$171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hiv_calc_dG_manual!$K$167:$K$171</c:f>
              <c:numCache>
                <c:formatCode>General</c:formatCode>
                <c:ptCount val="5"/>
                <c:pt idx="0">
                  <c:v>0.86054045788106903</c:v>
                </c:pt>
                <c:pt idx="1">
                  <c:v>0.91920416792171156</c:v>
                </c:pt>
                <c:pt idx="2">
                  <c:v>0.94816318996138849</c:v>
                </c:pt>
                <c:pt idx="3">
                  <c:v>0.80243598310270803</c:v>
                </c:pt>
                <c:pt idx="4">
                  <c:v>0.39091612516968249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E-F345-9C5F-2A0002AF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E10B-7D49-8683-3E0B80DE3A3C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0B-7D49-8683-3E0B80DE3A3C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10B-7D49-8683-3E0B80DE3A3C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0B-7D49-8683-3E0B80DE3A3C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10B-7D49-8683-3E0B80DE3A3C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hiv_calc_dG_manual!$J$167:$J$171</c:f>
                <c:numCache>
                  <c:formatCode>General</c:formatCode>
                  <c:ptCount val="5"/>
                  <c:pt idx="0">
                    <c:v>0.12655149197671101</c:v>
                  </c:pt>
                  <c:pt idx="1">
                    <c:v>0.3664515665892264</c:v>
                  </c:pt>
                  <c:pt idx="2">
                    <c:v>0.87532426084012793</c:v>
                  </c:pt>
                  <c:pt idx="3">
                    <c:v>0.13430811312904425</c:v>
                  </c:pt>
                  <c:pt idx="4">
                    <c:v>7.3245225132761924E-2</c:v>
                  </c:pt>
                </c:numCache>
              </c:numRef>
            </c:plus>
            <c:minus>
              <c:numRef>
                <c:f>hiv_calc_dG_manual!$J$167:$J$171</c:f>
                <c:numCache>
                  <c:formatCode>General</c:formatCode>
                  <c:ptCount val="5"/>
                  <c:pt idx="0">
                    <c:v>0.12655149197671101</c:v>
                  </c:pt>
                  <c:pt idx="1">
                    <c:v>0.3664515665892264</c:v>
                  </c:pt>
                  <c:pt idx="2">
                    <c:v>0.87532426084012793</c:v>
                  </c:pt>
                  <c:pt idx="3">
                    <c:v>0.13430811312904425</c:v>
                  </c:pt>
                  <c:pt idx="4">
                    <c:v>7.3245225132761924E-2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hiv_calc_dG_manual!$H$167:$H$171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hiv_calc_dG_manual!$I$167:$I$171</c:f>
              <c:numCache>
                <c:formatCode>General</c:formatCode>
                <c:ptCount val="5"/>
                <c:pt idx="0">
                  <c:v>-1.07819587163165</c:v>
                </c:pt>
                <c:pt idx="1">
                  <c:v>-1.48657784644351</c:v>
                </c:pt>
                <c:pt idx="2">
                  <c:v>-1.7221967777963001</c:v>
                </c:pt>
                <c:pt idx="3">
                  <c:v>-0.83569990913870151</c:v>
                </c:pt>
                <c:pt idx="4">
                  <c:v>0.26282483928052452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9-7940-90C9-773510F67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∆G</a:t>
                </a:r>
                <a:r>
                  <a:rPr lang="en-US" baseline="0">
                    <a:solidFill>
                      <a:schemeClr val="tx1"/>
                    </a:solidFill>
                    <a:latin typeface="Helvetica" pitchFamily="2" charset="0"/>
                  </a:rPr>
                  <a:t> (kcal/mol)</a:t>
                </a:r>
                <a:endParaRPr lang="en-US">
                  <a:solidFill>
                    <a:schemeClr val="tx1"/>
                  </a:solidFill>
                  <a:latin typeface="Helvetica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2B-124C-92DE-84C875DB1619}"/>
              </c:ext>
            </c:extLst>
          </c:dPt>
          <c:dPt>
            <c:idx val="1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C2B-124C-92DE-84C875DB1619}"/>
              </c:ext>
            </c:extLst>
          </c:dPt>
          <c:dPt>
            <c:idx val="2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2B-124C-92DE-84C875DB1619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hiv_calc_dG_manual!$L$189:$L$191</c:f>
                <c:numCache>
                  <c:formatCode>General</c:formatCode>
                  <c:ptCount val="3"/>
                  <c:pt idx="0">
                    <c:v>1.4160308774934271E-2</c:v>
                  </c:pt>
                  <c:pt idx="1">
                    <c:v>0.11882576151143674</c:v>
                  </c:pt>
                  <c:pt idx="2">
                    <c:v>9.6277975323278642E-2</c:v>
                  </c:pt>
                </c:numCache>
              </c:numRef>
            </c:plus>
            <c:minus>
              <c:numRef>
                <c:f>hiv_calc_dG_manual!$L$189:$L$191</c:f>
                <c:numCache>
                  <c:formatCode>General</c:formatCode>
                  <c:ptCount val="3"/>
                  <c:pt idx="0">
                    <c:v>1.4160308774934271E-2</c:v>
                  </c:pt>
                  <c:pt idx="1">
                    <c:v>0.11882576151143674</c:v>
                  </c:pt>
                  <c:pt idx="2">
                    <c:v>9.6277975323278642E-2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hiv_calc_dG_manual!$H$189:$H$191</c:f>
              <c:strCache>
                <c:ptCount val="3"/>
                <c:pt idx="0">
                  <c:v>hiv_wt</c:v>
                </c:pt>
                <c:pt idx="1">
                  <c:v>hiv_c30u</c:v>
                </c:pt>
                <c:pt idx="2">
                  <c:v>hiv_uucg</c:v>
                </c:pt>
              </c:strCache>
            </c:strRef>
          </c:cat>
          <c:val>
            <c:numRef>
              <c:f>hiv_calc_dG_manual!$K$189:$K$191</c:f>
              <c:numCache>
                <c:formatCode>General</c:formatCode>
                <c:ptCount val="3"/>
                <c:pt idx="0">
                  <c:v>0.42109997153907253</c:v>
                </c:pt>
                <c:pt idx="1">
                  <c:v>3.4147500852116541E-2</c:v>
                </c:pt>
                <c:pt idx="2">
                  <c:v>5.1075297490997255E-2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B-124C-92DE-84C875DB1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DD-614A-9ADA-D92429EDE7FC}"/>
              </c:ext>
            </c:extLst>
          </c:dPt>
          <c:dPt>
            <c:idx val="1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DD-614A-9ADA-D92429EDE7FC}"/>
              </c:ext>
            </c:extLst>
          </c:dPt>
          <c:dPt>
            <c:idx val="2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DD-614A-9ADA-D92429EDE7FC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hiv_calc_dG_manual!$J$189:$J$191</c:f>
                <c:numCache>
                  <c:formatCode>General</c:formatCode>
                  <c:ptCount val="3"/>
                  <c:pt idx="0">
                    <c:v>4.0650150490469168E-2</c:v>
                  </c:pt>
                  <c:pt idx="1">
                    <c:v>2.0024134539226046</c:v>
                  </c:pt>
                  <c:pt idx="2">
                    <c:v>2.1925379102346727</c:v>
                  </c:pt>
                </c:numCache>
              </c:numRef>
            </c:plus>
            <c:minus>
              <c:numRef>
                <c:f>hiv_calc_dG_manual!$J$189:$J$191</c:f>
                <c:numCache>
                  <c:formatCode>General</c:formatCode>
                  <c:ptCount val="3"/>
                  <c:pt idx="0">
                    <c:v>4.0650150490469168E-2</c:v>
                  </c:pt>
                  <c:pt idx="1">
                    <c:v>2.0024134539226046</c:v>
                  </c:pt>
                  <c:pt idx="2">
                    <c:v>2.1925379102346727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hiv_calc_dG_manual!$H$189:$H$191</c:f>
              <c:strCache>
                <c:ptCount val="3"/>
                <c:pt idx="0">
                  <c:v>hiv_wt</c:v>
                </c:pt>
                <c:pt idx="1">
                  <c:v>hiv_c30u</c:v>
                </c:pt>
                <c:pt idx="2">
                  <c:v>hiv_uucg</c:v>
                </c:pt>
              </c:strCache>
            </c:strRef>
          </c:cat>
          <c:val>
            <c:numRef>
              <c:f>hiv_calc_dG_manual!$I$189:$I$191</c:f>
              <c:numCache>
                <c:formatCode>General</c:formatCode>
                <c:ptCount val="3"/>
                <c:pt idx="0">
                  <c:v>0.51045065429232794</c:v>
                </c:pt>
                <c:pt idx="1">
                  <c:v>1.415817997479365</c:v>
                </c:pt>
                <c:pt idx="2">
                  <c:v>1.5503456465989149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D-614A-9ADA-D92429EDE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∆G</a:t>
                </a:r>
                <a:r>
                  <a:rPr lang="en-US" baseline="0">
                    <a:solidFill>
                      <a:schemeClr val="tx1"/>
                    </a:solidFill>
                    <a:latin typeface="Helvetica" pitchFamily="2" charset="0"/>
                  </a:rPr>
                  <a:t> (kcal/mol)</a:t>
                </a:r>
                <a:endParaRPr lang="en-US">
                  <a:solidFill>
                    <a:schemeClr val="tx1"/>
                  </a:solidFill>
                  <a:latin typeface="Helvetica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0B-014D-BB9C-EA0304FFD861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0B-014D-BB9C-EA0304FFD861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0B-014D-BB9C-EA0304FFD861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0B-014D-BB9C-EA0304FFD861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0B-014D-BB9C-EA0304FFD861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hiv_calc_dG_manual!$Q$189:$Q$193</c:f>
                <c:numCache>
                  <c:formatCode>General</c:formatCode>
                  <c:ptCount val="5"/>
                  <c:pt idx="0">
                    <c:v>8.1790787217648139E-2</c:v>
                  </c:pt>
                  <c:pt idx="1">
                    <c:v>8.2337928915415928E-2</c:v>
                  </c:pt>
                  <c:pt idx="2">
                    <c:v>0.11438542984481286</c:v>
                  </c:pt>
                  <c:pt idx="3">
                    <c:v>4.8032360412154487E-2</c:v>
                  </c:pt>
                  <c:pt idx="4">
                    <c:v>5.4445602207041963E-2</c:v>
                  </c:pt>
                </c:numCache>
              </c:numRef>
            </c:plus>
            <c:minus>
              <c:numRef>
                <c:f>hiv_calc_dG_manual!$Q$189:$Q$193</c:f>
                <c:numCache>
                  <c:formatCode>General</c:formatCode>
                  <c:ptCount val="5"/>
                  <c:pt idx="0">
                    <c:v>8.1790787217648139E-2</c:v>
                  </c:pt>
                  <c:pt idx="1">
                    <c:v>8.2337928915415928E-2</c:v>
                  </c:pt>
                  <c:pt idx="2">
                    <c:v>0.11438542984481286</c:v>
                  </c:pt>
                  <c:pt idx="3">
                    <c:v>4.8032360412154487E-2</c:v>
                  </c:pt>
                  <c:pt idx="4">
                    <c:v>5.4445602207041963E-2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hiv_calc_dG_manual!$O$189:$O$193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hiv_calc_dG_manual!$P$189:$P$193</c:f>
              <c:numCache>
                <c:formatCode>General</c:formatCode>
                <c:ptCount val="5"/>
                <c:pt idx="0">
                  <c:v>1.6966914347817101</c:v>
                </c:pt>
                <c:pt idx="1">
                  <c:v>1.8116580126083699</c:v>
                </c:pt>
                <c:pt idx="2">
                  <c:v>1.7780696489923149</c:v>
                </c:pt>
                <c:pt idx="3">
                  <c:v>2.0891458234166702</c:v>
                </c:pt>
                <c:pt idx="4">
                  <c:v>1.6293756891338549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0B-014D-BB9C-EA0304FFD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∆G</a:t>
                </a:r>
                <a:r>
                  <a:rPr lang="en-US" baseline="0">
                    <a:solidFill>
                      <a:schemeClr val="tx1"/>
                    </a:solidFill>
                    <a:latin typeface="Helvetica" pitchFamily="2" charset="0"/>
                  </a:rPr>
                  <a:t> (kcal/mol)</a:t>
                </a:r>
                <a:endParaRPr lang="en-US">
                  <a:solidFill>
                    <a:schemeClr val="tx1"/>
                  </a:solidFill>
                  <a:latin typeface="Helvetica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54-D244-A5B1-02B96DD857EA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54-D244-A5B1-02B96DD857EA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54-D244-A5B1-02B96DD857EA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354-D244-A5B1-02B96DD857EA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354-D244-A5B1-02B96DD857EA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hiv_calc_dG_manual!$S$189:$S$193</c:f>
                <c:numCache>
                  <c:formatCode>General</c:formatCode>
                  <c:ptCount val="5"/>
                  <c:pt idx="0">
                    <c:v>7.4802313672506296E-3</c:v>
                  </c:pt>
                  <c:pt idx="1">
                    <c:v>5.5330985553457487E-3</c:v>
                  </c:pt>
                  <c:pt idx="2">
                    <c:v>8.6258991435299113E-3</c:v>
                  </c:pt>
                  <c:pt idx="3">
                    <c:v>2.356711264219321E-3</c:v>
                  </c:pt>
                  <c:pt idx="4">
                    <c:v>5.2059955186164837E-3</c:v>
                  </c:pt>
                </c:numCache>
              </c:numRef>
            </c:plus>
            <c:minus>
              <c:numRef>
                <c:f>hiv_calc_dG_manual!$S$189:$S$193</c:f>
                <c:numCache>
                  <c:formatCode>General</c:formatCode>
                  <c:ptCount val="5"/>
                  <c:pt idx="0">
                    <c:v>7.4802313672506296E-3</c:v>
                  </c:pt>
                  <c:pt idx="1">
                    <c:v>5.5330985553457487E-3</c:v>
                  </c:pt>
                  <c:pt idx="2">
                    <c:v>8.6258991435299113E-3</c:v>
                  </c:pt>
                  <c:pt idx="3">
                    <c:v>2.356711264219321E-3</c:v>
                  </c:pt>
                  <c:pt idx="4">
                    <c:v>5.2059955186164837E-3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hiv_calc_dG_manual!$O$189:$O$193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hiv_calc_dG_manual!$R$189:$R$193</c:f>
              <c:numCache>
                <c:formatCode>General</c:formatCode>
                <c:ptCount val="5"/>
                <c:pt idx="0">
                  <c:v>5.4162539396382998E-2</c:v>
                </c:pt>
                <c:pt idx="1">
                  <c:v>4.5184348657415899E-2</c:v>
                </c:pt>
                <c:pt idx="2">
                  <c:v>4.7389342910926405E-2</c:v>
                </c:pt>
                <c:pt idx="3">
                  <c:v>2.8622568165457E-2</c:v>
                </c:pt>
                <c:pt idx="4">
                  <c:v>6.0082974776704504E-2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54-D244-A5B1-02B96DD85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38-5F44-94C9-EA6278ABEC04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38-5F44-94C9-EA6278ABEC04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38-5F44-94C9-EA6278ABEC04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E38-5F44-94C9-EA6278ABEC04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E38-5F44-94C9-EA6278ABEC04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hiv_calc_dG_manual!$X$189:$X$193</c:f>
                <c:numCache>
                  <c:formatCode>General</c:formatCode>
                  <c:ptCount val="5"/>
                  <c:pt idx="0">
                    <c:v>5.7651185435555002E-2</c:v>
                  </c:pt>
                  <c:pt idx="1">
                    <c:v>4.8162265686734256E-2</c:v>
                  </c:pt>
                  <c:pt idx="2">
                    <c:v>3.2491492610132025E-2</c:v>
                  </c:pt>
                  <c:pt idx="3">
                    <c:v>5.0142106377172903E-2</c:v>
                  </c:pt>
                  <c:pt idx="4">
                    <c:v>0.12417018609785449</c:v>
                  </c:pt>
                </c:numCache>
              </c:numRef>
            </c:plus>
            <c:minus>
              <c:numRef>
                <c:f>hiv_calc_dG_manual!$X$189:$X$193</c:f>
                <c:numCache>
                  <c:formatCode>General</c:formatCode>
                  <c:ptCount val="5"/>
                  <c:pt idx="0">
                    <c:v>5.7651185435555002E-2</c:v>
                  </c:pt>
                  <c:pt idx="1">
                    <c:v>4.8162265686734256E-2</c:v>
                  </c:pt>
                  <c:pt idx="2">
                    <c:v>3.2491492610132025E-2</c:v>
                  </c:pt>
                  <c:pt idx="3">
                    <c:v>5.0142106377172903E-2</c:v>
                  </c:pt>
                  <c:pt idx="4">
                    <c:v>0.12417018609785449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hiv_calc_dG_manual!$O$189:$O$193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hiv_calc_dG_manual!$W$189:$W$193</c:f>
              <c:numCache>
                <c:formatCode>General</c:formatCode>
                <c:ptCount val="5"/>
                <c:pt idx="0">
                  <c:v>0.87813660287809148</c:v>
                </c:pt>
                <c:pt idx="1">
                  <c:v>0.82829184805528344</c:v>
                </c:pt>
                <c:pt idx="2">
                  <c:v>0.765673333759331</c:v>
                </c:pt>
                <c:pt idx="3">
                  <c:v>0.89049674894274844</c:v>
                </c:pt>
                <c:pt idx="4">
                  <c:v>1.3658366204574999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38-5F44-94C9-EA6278ABE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∆G</a:t>
                </a:r>
                <a:r>
                  <a:rPr lang="en-US" baseline="0">
                    <a:solidFill>
                      <a:schemeClr val="tx1"/>
                    </a:solidFill>
                    <a:latin typeface="Helvetica" pitchFamily="2" charset="0"/>
                  </a:rPr>
                  <a:t> (kcal/mol)</a:t>
                </a:r>
                <a:endParaRPr lang="en-US">
                  <a:solidFill>
                    <a:schemeClr val="tx1"/>
                  </a:solidFill>
                  <a:latin typeface="Helvetica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41-FF4F-8E62-07F80BB3D7CC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41-FF4F-8E62-07F80BB3D7CC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41-FF4F-8E62-07F80BB3D7CC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41-FF4F-8E62-07F80BB3D7CC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41-FF4F-8E62-07F80BB3D7CC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hiv_calc_dG_manual!$Z$189:$Z$193</c:f>
                <c:numCache>
                  <c:formatCode>General</c:formatCode>
                  <c:ptCount val="5"/>
                  <c:pt idx="0">
                    <c:v>1.4682028641568855E-2</c:v>
                  </c:pt>
                  <c:pt idx="1">
                    <c:v>1.2563562641000506E-2</c:v>
                  </c:pt>
                  <c:pt idx="2">
                    <c:v>9.2667014965468354E-3</c:v>
                  </c:pt>
                  <c:pt idx="3">
                    <c:v>1.2490129575237848E-2</c:v>
                  </c:pt>
                  <c:pt idx="4">
                    <c:v>1.6587689205879393E-2</c:v>
                  </c:pt>
                </c:numCache>
              </c:numRef>
            </c:plus>
            <c:minus>
              <c:numRef>
                <c:f>hiv_calc_dG_manual!$Z$189:$Z$193</c:f>
                <c:numCache>
                  <c:formatCode>General</c:formatCode>
                  <c:ptCount val="5"/>
                  <c:pt idx="0">
                    <c:v>1.4682028641568855E-2</c:v>
                  </c:pt>
                  <c:pt idx="1">
                    <c:v>1.2563562641000506E-2</c:v>
                  </c:pt>
                  <c:pt idx="2">
                    <c:v>9.2667014965468354E-3</c:v>
                  </c:pt>
                  <c:pt idx="3">
                    <c:v>1.2490129575237848E-2</c:v>
                  </c:pt>
                  <c:pt idx="4">
                    <c:v>1.6587689205879393E-2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hiv_calc_dG_manual!$O$189:$O$193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hiv_calc_dG_manual!$Y$189:$Y$193</c:f>
              <c:numCache>
                <c:formatCode>General</c:formatCode>
                <c:ptCount val="5"/>
                <c:pt idx="0">
                  <c:v>0.185215108827084</c:v>
                </c:pt>
                <c:pt idx="1">
                  <c:v>0.198241325028788</c:v>
                </c:pt>
                <c:pt idx="2">
                  <c:v>0.21546234966423</c:v>
                </c:pt>
                <c:pt idx="3">
                  <c:v>0.18221046402722951</c:v>
                </c:pt>
                <c:pt idx="4">
                  <c:v>9.0799196583262909E-2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B41-FF4F-8E62-07F80BB3D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49-6A49-B114-8DFA5C8FFB3E}"/>
              </c:ext>
            </c:extLst>
          </c:dPt>
          <c:dPt>
            <c:idx val="1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49-6A49-B114-8DFA5C8FFB3E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hiv_calc_dG_manual!$J$214:$J$215</c:f>
                <c:numCache>
                  <c:formatCode>General</c:formatCode>
                  <c:ptCount val="2"/>
                  <c:pt idx="0">
                    <c:v>9.9468274861283901E-2</c:v>
                  </c:pt>
                  <c:pt idx="1">
                    <c:v>7.2330259294845253E-2</c:v>
                  </c:pt>
                </c:numCache>
              </c:numRef>
            </c:plus>
            <c:minus>
              <c:numRef>
                <c:f>hiv_calc_dG_manual!$J$214:$J$215</c:f>
                <c:numCache>
                  <c:formatCode>General</c:formatCode>
                  <c:ptCount val="2"/>
                  <c:pt idx="0">
                    <c:v>9.9468274861283901E-2</c:v>
                  </c:pt>
                  <c:pt idx="1">
                    <c:v>7.2330259294845253E-2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hiv_calc_dG_manual!$H$214:$H$215</c:f>
              <c:strCache>
                <c:ptCount val="2"/>
                <c:pt idx="0">
                  <c:v>hiv_gs</c:v>
                </c:pt>
                <c:pt idx="1">
                  <c:v>hiv_es2</c:v>
                </c:pt>
              </c:strCache>
            </c:strRef>
          </c:cat>
          <c:val>
            <c:numRef>
              <c:f>hiv_calc_dG_manual!$I$214:$I$215</c:f>
              <c:numCache>
                <c:formatCode>General</c:formatCode>
                <c:ptCount val="2"/>
                <c:pt idx="0">
                  <c:v>-0.97997795974616553</c:v>
                </c:pt>
                <c:pt idx="1">
                  <c:v>-0.12211373542694234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49-6A49-B114-8DFA5C8F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∆G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F2-714F-A48A-15D58CFB94A4}"/>
              </c:ext>
            </c:extLst>
          </c:dPt>
          <c:dPt>
            <c:idx val="1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F2-714F-A48A-15D58CFB94A4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hiv_calc_dG_manual!$L$214:$L$215</c:f>
                <c:numCache>
                  <c:formatCode>General</c:formatCode>
                  <c:ptCount val="2"/>
                  <c:pt idx="0">
                    <c:v>2.2238657918589699E-2</c:v>
                  </c:pt>
                  <c:pt idx="1">
                    <c:v>3.0259018087920302E-2</c:v>
                  </c:pt>
                </c:numCache>
              </c:numRef>
            </c:plus>
            <c:minus>
              <c:numRef>
                <c:f>hiv_calc_dG_manual!$L$214:$L$215</c:f>
                <c:numCache>
                  <c:formatCode>General</c:formatCode>
                  <c:ptCount val="2"/>
                  <c:pt idx="0">
                    <c:v>2.2238657918589699E-2</c:v>
                  </c:pt>
                  <c:pt idx="1">
                    <c:v>3.0259018087920302E-2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hiv_calc_dG_manual!$H$214:$H$215</c:f>
              <c:strCache>
                <c:ptCount val="2"/>
                <c:pt idx="0">
                  <c:v>hiv_gs</c:v>
                </c:pt>
                <c:pt idx="1">
                  <c:v>hiv_es2</c:v>
                </c:pt>
              </c:strCache>
            </c:strRef>
          </c:cat>
          <c:val>
            <c:numRef>
              <c:f>hiv_calc_dG_manual!$K$214:$K$215</c:f>
              <c:numCache>
                <c:formatCode>General</c:formatCode>
                <c:ptCount val="2"/>
                <c:pt idx="0">
                  <c:v>0.83603976366568045</c:v>
                </c:pt>
                <c:pt idx="1">
                  <c:v>0.55131702234820557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2-714F-A48A-15D58CFB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K/(K+1)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37-8348-99B3-44057807F8F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37-8348-99B3-44057807F8FE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hiv_calc_dG_manual!$R$210:$R$211</c:f>
                <c:numCache>
                  <c:formatCode>General</c:formatCode>
                  <c:ptCount val="2"/>
                  <c:pt idx="0">
                    <c:v>7.0016023637923697E-2</c:v>
                  </c:pt>
                  <c:pt idx="1">
                    <c:v>0.199891784790137</c:v>
                  </c:pt>
                </c:numCache>
              </c:numRef>
            </c:plus>
            <c:minus>
              <c:numRef>
                <c:f>hiv_calc_dG_manual!$R$210:$R$211</c:f>
                <c:numCache>
                  <c:formatCode>General</c:formatCode>
                  <c:ptCount val="2"/>
                  <c:pt idx="0">
                    <c:v>7.0016023637923697E-2</c:v>
                  </c:pt>
                  <c:pt idx="1">
                    <c:v>0.199891784790137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hiv_calc_dG_manual!$P$210:$P$211</c:f>
              <c:strCache>
                <c:ptCount val="2"/>
                <c:pt idx="0">
                  <c:v>4U_wt</c:v>
                </c:pt>
                <c:pt idx="1">
                  <c:v>4U_a8c</c:v>
                </c:pt>
              </c:strCache>
            </c:strRef>
          </c:cat>
          <c:val>
            <c:numRef>
              <c:f>hiv_calc_dG_manual!$Q$210:$Q$211</c:f>
              <c:numCache>
                <c:formatCode>General</c:formatCode>
                <c:ptCount val="2"/>
                <c:pt idx="0">
                  <c:v>-0.19781826410842401</c:v>
                </c:pt>
                <c:pt idx="1">
                  <c:v>0.115092555135117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37-8348-99B3-44057807F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</a:rPr>
                  <a:t>∆G (kcal/mol)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barplot</c:v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BC-804B-AE54-D7EF4AD52C73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BC-804B-AE54-D7EF4AD52C73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BC-804B-AE54-D7EF4AD52C73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BC-804B-AE54-D7EF4AD52C73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BC-804B-AE54-D7EF4AD52C73}"/>
              </c:ext>
            </c:extLst>
          </c:dPt>
          <c:errBars>
            <c:errBarType val="both"/>
            <c:errValType val="cust"/>
            <c:noEndCap val="0"/>
            <c:plus>
              <c:numRef>
                <c:f>hiv_calc_dG_manual!$Q$189:$Q$193</c:f>
                <c:numCache>
                  <c:formatCode>General</c:formatCode>
                  <c:ptCount val="5"/>
                  <c:pt idx="0">
                    <c:v>8.1790787217648139E-2</c:v>
                  </c:pt>
                  <c:pt idx="1">
                    <c:v>8.2337928915415928E-2</c:v>
                  </c:pt>
                  <c:pt idx="2">
                    <c:v>0.11438542984481286</c:v>
                  </c:pt>
                  <c:pt idx="3">
                    <c:v>4.8032360412154487E-2</c:v>
                  </c:pt>
                  <c:pt idx="4">
                    <c:v>5.4445602207041963E-2</c:v>
                  </c:pt>
                </c:numCache>
              </c:numRef>
            </c:plus>
            <c:minus>
              <c:numRef>
                <c:f>hiv_calc_dG_manual!$Q$189:$Q$193</c:f>
                <c:numCache>
                  <c:formatCode>General</c:formatCode>
                  <c:ptCount val="5"/>
                  <c:pt idx="0">
                    <c:v>8.1790787217648139E-2</c:v>
                  </c:pt>
                  <c:pt idx="1">
                    <c:v>8.2337928915415928E-2</c:v>
                  </c:pt>
                  <c:pt idx="2">
                    <c:v>0.11438542984481286</c:v>
                  </c:pt>
                  <c:pt idx="3">
                    <c:v>4.8032360412154487E-2</c:v>
                  </c:pt>
                  <c:pt idx="4">
                    <c:v>5.4445602207041963E-2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hiv_calc_dG_manual!$O$189:$O$193</c:f>
              <c:strCache>
                <c:ptCount val="5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</c:strCache>
            </c:strRef>
          </c:cat>
          <c:val>
            <c:numRef>
              <c:f>hiv_calc_dG_manual!$P$189:$P$193</c:f>
              <c:numCache>
                <c:formatCode>General</c:formatCode>
                <c:ptCount val="5"/>
                <c:pt idx="0">
                  <c:v>1.6966914347817101</c:v>
                </c:pt>
                <c:pt idx="1">
                  <c:v>1.8116580126083699</c:v>
                </c:pt>
                <c:pt idx="2">
                  <c:v>1.7780696489923149</c:v>
                </c:pt>
                <c:pt idx="3">
                  <c:v>2.0891458234166702</c:v>
                </c:pt>
                <c:pt idx="4">
                  <c:v>1.6293756891338549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BC-804B-AE54-D7EF4AD52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scatterChart>
        <c:scatterStyle val="lineMarker"/>
        <c:varyColors val="0"/>
        <c:ser>
          <c:idx val="1"/>
          <c:order val="1"/>
          <c:tx>
            <c:v>datapt</c:v>
          </c:tx>
          <c:spPr>
            <a:solidFill>
              <a:schemeClr val="accent2"/>
            </a:solidFill>
            <a:ln w="25400">
              <a:noFill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hiv_calc_dG_manual!$AI$14:$AI$143</c:f>
              <c:numCache>
                <c:formatCode>General</c:formatCode>
                <c:ptCount val="8"/>
              </c:numCache>
            </c:numRef>
          </c:xVal>
          <c:yVal>
            <c:numRef>
              <c:f>hiv_calc_dG_manual!$AH$14:$AH$143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9BC-804B-AE54-D7EF4AD52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615792"/>
        <c:axId val="1886617504"/>
      </c:scatte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∆G</a:t>
                </a:r>
                <a:r>
                  <a:rPr lang="en-US" baseline="0">
                    <a:solidFill>
                      <a:schemeClr val="tx1"/>
                    </a:solidFill>
                    <a:latin typeface="Helvetica" pitchFamily="2" charset="0"/>
                  </a:rPr>
                  <a:t> (kcal/mol)</a:t>
                </a:r>
                <a:endParaRPr lang="en-US">
                  <a:solidFill>
                    <a:schemeClr val="tx1"/>
                  </a:solidFill>
                  <a:latin typeface="Helvetica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F-934C-9047-5D0216B4284C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FF-934C-9047-5D0216B4284C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FF-934C-9047-5D0216B4284C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FF-934C-9047-5D0216B4284C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FF-934C-9047-5D0216B4284C}"/>
              </c:ext>
            </c:extLst>
          </c:dPt>
          <c:errBars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Sheet1!$A$14:$A$19</c:f>
              <c:strCache>
                <c:ptCount val="6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  <c:pt idx="5">
                  <c:v>nmr</c:v>
                </c:pt>
              </c:strCache>
            </c:strRef>
          </c:cat>
          <c:val>
            <c:numRef>
              <c:f>Sheet1!$D$14:$D$19</c:f>
              <c:numCache>
                <c:formatCode>General</c:formatCode>
                <c:ptCount val="6"/>
                <c:pt idx="0">
                  <c:v>0.78793983756775576</c:v>
                </c:pt>
                <c:pt idx="1">
                  <c:v>0.87926524270085826</c:v>
                </c:pt>
                <c:pt idx="2">
                  <c:v>1</c:v>
                </c:pt>
                <c:pt idx="3">
                  <c:v>0.76687459503079514</c:v>
                </c:pt>
                <c:pt idx="4">
                  <c:v>0.126</c:v>
                </c:pt>
                <c:pt idx="5">
                  <c:v>0.996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FF-934C-9047-5D0216B42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%GS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DE8353"/>
                </a:solidFill>
                <a:ln w="9525">
                  <a:solidFill>
                    <a:srgbClr val="DE835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E66-3D4D-8F7A-A43A6A5C08C6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55A968"/>
                </a:solidFill>
                <a:ln w="9525">
                  <a:solidFill>
                    <a:srgbClr val="55A96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66-3D4D-8F7A-A43A6A5C08C6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54F51"/>
                </a:solidFill>
                <a:ln w="9525">
                  <a:solidFill>
                    <a:srgbClr val="C54F5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E66-3D4D-8F7A-A43A6A5C08C6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8073B4"/>
                </a:solidFill>
                <a:ln w="9525">
                  <a:solidFill>
                    <a:srgbClr val="8073B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E66-3D4D-8F7A-A43A6A5C08C6}"/>
              </c:ext>
            </c:extLst>
          </c:dPt>
          <c:yVal>
            <c:numRef>
              <c:f>Sheet1!$D$2:$D$7</c:f>
              <c:numCache>
                <c:formatCode>General</c:formatCode>
                <c:ptCount val="6"/>
                <c:pt idx="1">
                  <c:v>0.86257035222460077</c:v>
                </c:pt>
                <c:pt idx="2">
                  <c:v>0.95457995768512771</c:v>
                </c:pt>
                <c:pt idx="3">
                  <c:v>1</c:v>
                </c:pt>
                <c:pt idx="4">
                  <c:v>0.77143786510190981</c:v>
                </c:pt>
                <c:pt idx="5">
                  <c:v>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66-3D4D-8F7A-A43A6A5C0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322992"/>
        <c:axId val="1095297792"/>
      </c:scatterChart>
      <c:valAx>
        <c:axId val="1095322992"/>
        <c:scaling>
          <c:orientation val="minMax"/>
          <c:max val="5"/>
          <c:min val="0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297792"/>
        <c:crosses val="autoZero"/>
        <c:crossBetween val="midCat"/>
      </c:valAx>
      <c:valAx>
        <c:axId val="1095297792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0953229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rgbClr val="DE8353"/>
                </a:solidFill>
                <a:ln w="9525">
                  <a:solidFill>
                    <a:srgbClr val="DE835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A9E-A244-96CD-EC6C5497E64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55A968"/>
                </a:solidFill>
                <a:ln w="9525">
                  <a:solidFill>
                    <a:srgbClr val="55A968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A9E-A244-96CD-EC6C5497E64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C54F51"/>
                </a:solidFill>
                <a:ln w="9525">
                  <a:solidFill>
                    <a:srgbClr val="C54F5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A9E-A244-96CD-EC6C5497E644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8073B4"/>
                </a:solidFill>
                <a:ln w="9525">
                  <a:solidFill>
                    <a:srgbClr val="8073B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A9E-A244-96CD-EC6C5497E644}"/>
              </c:ext>
            </c:extLst>
          </c:dPt>
          <c:yVal>
            <c:numRef>
              <c:f>Sheet1!$D$13:$D$18</c:f>
              <c:numCache>
                <c:formatCode>General</c:formatCode>
                <c:ptCount val="6"/>
                <c:pt idx="1">
                  <c:v>0.78793983756775576</c:v>
                </c:pt>
                <c:pt idx="2">
                  <c:v>0.87926524270085826</c:v>
                </c:pt>
                <c:pt idx="3">
                  <c:v>1</c:v>
                </c:pt>
                <c:pt idx="4">
                  <c:v>0.76687459503079514</c:v>
                </c:pt>
                <c:pt idx="5">
                  <c:v>0.126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9E-A244-96CD-EC6C5497E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322992"/>
        <c:axId val="1095297792"/>
      </c:scatterChart>
      <c:valAx>
        <c:axId val="1095322992"/>
        <c:scaling>
          <c:orientation val="minMax"/>
          <c:max val="5"/>
          <c:min val="0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297792"/>
        <c:crosses val="autoZero"/>
        <c:crossBetween val="midCat"/>
      </c:valAx>
      <c:valAx>
        <c:axId val="1095297792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0953229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1E-324F-8E2A-D277659E970C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1E-324F-8E2A-D277659E970C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1E-324F-8E2A-D277659E970C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1E-324F-8E2A-D277659E970C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11E-324F-8E2A-D277659E970C}"/>
              </c:ext>
            </c:extLst>
          </c:dPt>
          <c:errBars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Sheet1!$A$3:$A$8</c:f>
              <c:strCache>
                <c:ptCount val="6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  <c:pt idx="5">
                  <c:v>nmr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0.86257035222460077</c:v>
                </c:pt>
                <c:pt idx="1">
                  <c:v>0.95457995768512771</c:v>
                </c:pt>
                <c:pt idx="2">
                  <c:v>1</c:v>
                </c:pt>
                <c:pt idx="3">
                  <c:v>0.77143786510190981</c:v>
                </c:pt>
                <c:pt idx="4">
                  <c:v>0.126</c:v>
                </c:pt>
                <c:pt idx="5">
                  <c:v>0.996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11E-324F-8E2A-D277659E9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%GS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B72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3B-ED47-B28F-514A8ED5522B}"/>
              </c:ext>
            </c:extLst>
          </c:dPt>
          <c:dPt>
            <c:idx val="1"/>
            <c:invertIfNegative val="0"/>
            <c:bubble3D val="0"/>
            <c:spPr>
              <a:solidFill>
                <a:srgbClr val="DE835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3B-ED47-B28F-514A8ED5522B}"/>
              </c:ext>
            </c:extLst>
          </c:dPt>
          <c:dPt>
            <c:idx val="2"/>
            <c:invertIfNegative val="0"/>
            <c:bubble3D val="0"/>
            <c:spPr>
              <a:solidFill>
                <a:srgbClr val="55A96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3B-ED47-B28F-514A8ED5522B}"/>
              </c:ext>
            </c:extLst>
          </c:dPt>
          <c:dPt>
            <c:idx val="3"/>
            <c:invertIfNegative val="0"/>
            <c:bubble3D val="0"/>
            <c:spPr>
              <a:solidFill>
                <a:srgbClr val="C54F5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3B-ED47-B28F-514A8ED5522B}"/>
              </c:ext>
            </c:extLst>
          </c:dPt>
          <c:dPt>
            <c:idx val="4"/>
            <c:invertIfNegative val="0"/>
            <c:bubble3D val="0"/>
            <c:spPr>
              <a:solidFill>
                <a:srgbClr val="8073B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3B-ED47-B28F-514A8ED5522B}"/>
              </c:ext>
            </c:extLst>
          </c:dPt>
          <c:errBars>
            <c:errBarType val="both"/>
            <c:errValType val="percentage"/>
            <c:noEndCap val="0"/>
            <c:val val="1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Sheet1!$A$24:$A$29</c:f>
              <c:strCache>
                <c:ptCount val="6"/>
                <c:pt idx="0">
                  <c:v>hiv_wt</c:v>
                </c:pt>
                <c:pt idx="1">
                  <c:v>hiv_uucg</c:v>
                </c:pt>
                <c:pt idx="2">
                  <c:v>hiv_a35g</c:v>
                </c:pt>
                <c:pt idx="3">
                  <c:v>hiv_c30u</c:v>
                </c:pt>
                <c:pt idx="4">
                  <c:v>hiv_es2</c:v>
                </c:pt>
                <c:pt idx="5">
                  <c:v>nmr</c:v>
                </c:pt>
              </c:strCache>
            </c:strRef>
          </c:cat>
          <c:val>
            <c:numRef>
              <c:f>Sheet1!$D$24:$D$29</c:f>
              <c:numCache>
                <c:formatCode>General</c:formatCode>
                <c:ptCount val="6"/>
                <c:pt idx="0">
                  <c:v>0.23281228798419762</c:v>
                </c:pt>
                <c:pt idx="1">
                  <c:v>0.50250552877881138</c:v>
                </c:pt>
                <c:pt idx="2">
                  <c:v>0.43627035251086294</c:v>
                </c:pt>
                <c:pt idx="3">
                  <c:v>1</c:v>
                </c:pt>
                <c:pt idx="4">
                  <c:v>5.4970064416368633E-2</c:v>
                </c:pt>
                <c:pt idx="5">
                  <c:v>0.996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3B-ED47-B28F-514A8ED5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86615792"/>
        <c:axId val="1886617504"/>
      </c:barChart>
      <c:catAx>
        <c:axId val="18866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7504"/>
        <c:crosses val="autoZero"/>
        <c:auto val="1"/>
        <c:lblAlgn val="ctr"/>
        <c:lblOffset val="100"/>
        <c:noMultiLvlLbl val="0"/>
      </c:catAx>
      <c:valAx>
        <c:axId val="18866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  <a:latin typeface="Helvetica" pitchFamily="2" charset="0"/>
                  </a:rPr>
                  <a:t>%GS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US"/>
          </a:p>
        </c:txPr>
        <c:crossAx val="1886615792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172</xdr:row>
      <xdr:rowOff>0</xdr:rowOff>
    </xdr:from>
    <xdr:to>
      <xdr:col>15</xdr:col>
      <xdr:colOff>660399</xdr:colOff>
      <xdr:row>185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E7AF26-BEEC-CC4E-832E-8F6CF6E7E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172</xdr:row>
      <xdr:rowOff>0</xdr:rowOff>
    </xdr:from>
    <xdr:to>
      <xdr:col>18</xdr:col>
      <xdr:colOff>660399</xdr:colOff>
      <xdr:row>185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6A6483E-6E41-6A45-A387-52188875B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172</xdr:row>
      <xdr:rowOff>0</xdr:rowOff>
    </xdr:from>
    <xdr:to>
      <xdr:col>26</xdr:col>
      <xdr:colOff>660400</xdr:colOff>
      <xdr:row>185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355C028-FC67-294F-ABAF-BE59DB054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172</xdr:row>
      <xdr:rowOff>0</xdr:rowOff>
    </xdr:from>
    <xdr:to>
      <xdr:col>23</xdr:col>
      <xdr:colOff>660400</xdr:colOff>
      <xdr:row>185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E834EC-2EC0-0D45-B4B6-171750A6F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169333</xdr:colOff>
      <xdr:row>171</xdr:row>
      <xdr:rowOff>186267</xdr:rowOff>
    </xdr:from>
    <xdr:to>
      <xdr:col>12</xdr:col>
      <xdr:colOff>0</xdr:colOff>
      <xdr:row>185</xdr:row>
      <xdr:rowOff>84667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596A28-3490-FB4B-B50A-8E41B1AEB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169333</xdr:colOff>
      <xdr:row>171</xdr:row>
      <xdr:rowOff>186267</xdr:rowOff>
    </xdr:from>
    <xdr:to>
      <xdr:col>9</xdr:col>
      <xdr:colOff>0</xdr:colOff>
      <xdr:row>185</xdr:row>
      <xdr:rowOff>84667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ADE3A1D-2323-2A4D-9AE9-74AFCB654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192</xdr:row>
      <xdr:rowOff>0</xdr:rowOff>
    </xdr:from>
    <xdr:to>
      <xdr:col>11</xdr:col>
      <xdr:colOff>660400</xdr:colOff>
      <xdr:row>205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9CF2C-7232-8145-9D4C-D17972E7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192</xdr:row>
      <xdr:rowOff>0</xdr:rowOff>
    </xdr:from>
    <xdr:to>
      <xdr:col>8</xdr:col>
      <xdr:colOff>660400</xdr:colOff>
      <xdr:row>205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3EE9B-4EA4-E449-9BFF-8AE3BE167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194</xdr:row>
      <xdr:rowOff>0</xdr:rowOff>
    </xdr:from>
    <xdr:to>
      <xdr:col>16</xdr:col>
      <xdr:colOff>660401</xdr:colOff>
      <xdr:row>207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D58AF1-8FEB-5A4B-AE9A-C63EAA764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194</xdr:row>
      <xdr:rowOff>0</xdr:rowOff>
    </xdr:from>
    <xdr:to>
      <xdr:col>19</xdr:col>
      <xdr:colOff>660401</xdr:colOff>
      <xdr:row>207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A2C020-C137-554E-8223-09103A8CF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0</xdr:colOff>
      <xdr:row>194</xdr:row>
      <xdr:rowOff>0</xdr:rowOff>
    </xdr:from>
    <xdr:to>
      <xdr:col>23</xdr:col>
      <xdr:colOff>660400</xdr:colOff>
      <xdr:row>207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250E80-55A5-DB48-8B20-A7D41FD03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194</xdr:row>
      <xdr:rowOff>0</xdr:rowOff>
    </xdr:from>
    <xdr:to>
      <xdr:col>26</xdr:col>
      <xdr:colOff>660400</xdr:colOff>
      <xdr:row>207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FA64F0-13D9-B04F-B45C-C58381C27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0</xdr:colOff>
      <xdr:row>217</xdr:row>
      <xdr:rowOff>0</xdr:rowOff>
    </xdr:from>
    <xdr:to>
      <xdr:col>9</xdr:col>
      <xdr:colOff>660400</xdr:colOff>
      <xdr:row>230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8324F5-DB2A-A541-8E5F-A8E358ECC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1</xdr:colOff>
      <xdr:row>217</xdr:row>
      <xdr:rowOff>0</xdr:rowOff>
    </xdr:from>
    <xdr:to>
      <xdr:col>12</xdr:col>
      <xdr:colOff>660399</xdr:colOff>
      <xdr:row>230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8C367F-46F2-A44E-A348-7AE88B25F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0</xdr:colOff>
      <xdr:row>214</xdr:row>
      <xdr:rowOff>0</xdr:rowOff>
    </xdr:from>
    <xdr:to>
      <xdr:col>17</xdr:col>
      <xdr:colOff>660400</xdr:colOff>
      <xdr:row>227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336A0AB-EEE8-4E4F-B7DF-AE9FC602A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812800</xdr:colOff>
      <xdr:row>0</xdr:row>
      <xdr:rowOff>190500</xdr:rowOff>
    </xdr:from>
    <xdr:to>
      <xdr:col>29</xdr:col>
      <xdr:colOff>647701</xdr:colOff>
      <xdr:row>167</xdr:row>
      <xdr:rowOff>88900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34214AF-0308-A446-B280-A99969736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</xdr:colOff>
      <xdr:row>13</xdr:row>
      <xdr:rowOff>38100</xdr:rowOff>
    </xdr:from>
    <xdr:to>
      <xdr:col>13</xdr:col>
      <xdr:colOff>706967</xdr:colOff>
      <xdr:row>26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1F8218-0622-8D43-98C0-9173D59B7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546100</xdr:colOff>
      <xdr:row>26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A9795E7-B349-E44F-9508-50DDDAE44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7</xdr:col>
      <xdr:colOff>546100</xdr:colOff>
      <xdr:row>26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5CF4FF-0427-DD43-9D5E-642F6E084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16</xdr:col>
      <xdr:colOff>656167</xdr:colOff>
      <xdr:row>26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5E7C275-34F9-C445-A46A-DA0637FD1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28</xdr:row>
      <xdr:rowOff>0</xdr:rowOff>
    </xdr:from>
    <xdr:to>
      <xdr:col>13</xdr:col>
      <xdr:colOff>656167</xdr:colOff>
      <xdr:row>41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A4ECF68-FA18-1140-9829-B6ABB9AD2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6EBD-6839-C449-ABF4-8D0265B1AF8E}">
  <sheetPr filterMode="1"/>
  <dimension ref="A1:AI215"/>
  <sheetViews>
    <sheetView tabSelected="1" topLeftCell="E169" zoomScale="75" zoomScaleNormal="100" workbookViewId="0">
      <selection activeCell="T183" sqref="T183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AI1" t="s">
        <v>48</v>
      </c>
    </row>
    <row r="2" spans="1:35" hidden="1" x14ac:dyDescent="0.2">
      <c r="A2">
        <v>2</v>
      </c>
      <c r="B2" t="s">
        <v>12</v>
      </c>
      <c r="C2">
        <v>-11.8370193865929</v>
      </c>
      <c r="D2">
        <v>8.5701450708482896E-2</v>
      </c>
      <c r="E2">
        <v>-10.1270569244575</v>
      </c>
      <c r="F2">
        <v>0.82659340323948405</v>
      </c>
      <c r="G2" t="s">
        <v>13</v>
      </c>
      <c r="H2" t="s">
        <v>14</v>
      </c>
      <c r="I2">
        <v>0.89491701551940805</v>
      </c>
      <c r="J2">
        <v>6.1988914790717699E-2</v>
      </c>
      <c r="K2">
        <v>0.180872582060181</v>
      </c>
      <c r="L2">
        <v>1.55010426759466E-2</v>
      </c>
    </row>
    <row r="3" spans="1:35" hidden="1" x14ac:dyDescent="0.2">
      <c r="A3">
        <v>2</v>
      </c>
      <c r="B3" t="s">
        <v>12</v>
      </c>
      <c r="C3">
        <v>-11.8399073368412</v>
      </c>
      <c r="D3">
        <v>3.6835613279039801E-2</v>
      </c>
      <c r="E3">
        <v>-10.1270569244575</v>
      </c>
      <c r="F3">
        <v>0.82659340323948405</v>
      </c>
      <c r="G3" t="s">
        <v>13</v>
      </c>
      <c r="H3" t="s">
        <v>14</v>
      </c>
      <c r="I3">
        <v>0.89700524039069995</v>
      </c>
      <c r="J3">
        <v>2.6626697611631601E-2</v>
      </c>
      <c r="K3">
        <v>0.180350984578211</v>
      </c>
      <c r="L3">
        <v>6.6433391224170503E-3</v>
      </c>
    </row>
    <row r="4" spans="1:35" hidden="1" x14ac:dyDescent="0.2">
      <c r="A4">
        <v>3</v>
      </c>
      <c r="B4" t="s">
        <v>12</v>
      </c>
      <c r="C4">
        <v>-11.776644859413601</v>
      </c>
      <c r="D4">
        <v>3.6695667682986099E-2</v>
      </c>
      <c r="E4">
        <v>-10.1270569244575</v>
      </c>
      <c r="F4">
        <v>0.82659340323948405</v>
      </c>
      <c r="G4" t="s">
        <v>13</v>
      </c>
      <c r="H4" t="s">
        <v>15</v>
      </c>
      <c r="I4">
        <v>0.85094760490269505</v>
      </c>
      <c r="J4">
        <v>2.6912257637590101E-2</v>
      </c>
      <c r="K4">
        <v>0.19212906198181501</v>
      </c>
      <c r="L4">
        <v>7.0503042107285399E-3</v>
      </c>
    </row>
    <row r="5" spans="1:35" hidden="1" x14ac:dyDescent="0.2">
      <c r="A5">
        <v>3</v>
      </c>
      <c r="B5" t="s">
        <v>12</v>
      </c>
      <c r="C5">
        <v>-11.8643791630005</v>
      </c>
      <c r="D5">
        <v>4.1133925154900601E-2</v>
      </c>
      <c r="E5">
        <v>-10.1270569244575</v>
      </c>
      <c r="F5">
        <v>0.82659340323948405</v>
      </c>
      <c r="G5" t="s">
        <v>13</v>
      </c>
      <c r="H5" t="s">
        <v>15</v>
      </c>
      <c r="I5">
        <v>0.91464767693455595</v>
      </c>
      <c r="J5">
        <v>2.9576415463732901E-2</v>
      </c>
      <c r="K5">
        <v>0.17599103221905199</v>
      </c>
      <c r="L5">
        <v>7.2392019472321901E-3</v>
      </c>
    </row>
    <row r="6" spans="1:35" hidden="1" x14ac:dyDescent="0.2">
      <c r="A6">
        <v>19</v>
      </c>
      <c r="B6" t="s">
        <v>12</v>
      </c>
      <c r="C6">
        <v>-14.191251083314199</v>
      </c>
      <c r="D6">
        <v>0.177759334672348</v>
      </c>
      <c r="E6">
        <v>-10.9581161383501</v>
      </c>
      <c r="F6">
        <v>1.79145672194132</v>
      </c>
      <c r="G6" t="s">
        <v>16</v>
      </c>
      <c r="H6" t="s">
        <v>17</v>
      </c>
      <c r="I6">
        <v>1.8917467901362399</v>
      </c>
      <c r="J6">
        <v>0.10964337238704699</v>
      </c>
      <c r="K6">
        <v>3.9433682386986003E-2</v>
      </c>
      <c r="L6">
        <v>7.0097051447913202E-3</v>
      </c>
    </row>
    <row r="7" spans="1:35" hidden="1" x14ac:dyDescent="0.2">
      <c r="A7">
        <v>19</v>
      </c>
      <c r="B7" t="s">
        <v>12</v>
      </c>
      <c r="C7">
        <v>-14.0979357857855</v>
      </c>
      <c r="D7">
        <v>0.129617532372128</v>
      </c>
      <c r="E7">
        <v>-10.9581161383501</v>
      </c>
      <c r="F7">
        <v>1.79145672194132</v>
      </c>
      <c r="G7" t="s">
        <v>16</v>
      </c>
      <c r="H7" t="s">
        <v>17</v>
      </c>
      <c r="I7">
        <v>1.83407511141556</v>
      </c>
      <c r="J7">
        <v>8.02714361669081E-2</v>
      </c>
      <c r="K7">
        <v>4.3290604769546E-2</v>
      </c>
      <c r="L7">
        <v>5.6112213651256402E-3</v>
      </c>
    </row>
    <row r="8" spans="1:35" hidden="1" x14ac:dyDescent="0.2">
      <c r="A8">
        <v>20</v>
      </c>
      <c r="B8" t="s">
        <v>12</v>
      </c>
      <c r="C8">
        <v>-12.921433975463801</v>
      </c>
      <c r="D8">
        <v>4.9419650674436301E-2</v>
      </c>
      <c r="E8">
        <v>-10.1270569244575</v>
      </c>
      <c r="F8">
        <v>0.82659340323948405</v>
      </c>
      <c r="G8" t="s">
        <v>13</v>
      </c>
      <c r="H8" t="s">
        <v>18</v>
      </c>
      <c r="I8">
        <v>1.6182389422263199</v>
      </c>
      <c r="J8">
        <v>3.1187614088019702E-2</v>
      </c>
      <c r="K8">
        <v>6.1152957642798197E-2</v>
      </c>
      <c r="L8">
        <v>3.02215780441568E-3</v>
      </c>
    </row>
    <row r="9" spans="1:35" hidden="1" x14ac:dyDescent="0.2">
      <c r="A9">
        <v>20</v>
      </c>
      <c r="B9" t="s">
        <v>12</v>
      </c>
      <c r="C9">
        <v>-12.928719710282699</v>
      </c>
      <c r="D9">
        <v>3.1546593586707403E-2</v>
      </c>
      <c r="E9">
        <v>-10.1270569244575</v>
      </c>
      <c r="F9">
        <v>0.82659340323948405</v>
      </c>
      <c r="G9" t="s">
        <v>13</v>
      </c>
      <c r="H9" t="s">
        <v>18</v>
      </c>
      <c r="I9">
        <v>1.6228357152501001</v>
      </c>
      <c r="J9">
        <v>1.98989264905691E-2</v>
      </c>
      <c r="K9">
        <v>6.0709032534030302E-2</v>
      </c>
      <c r="L9">
        <v>1.9151631763932499E-3</v>
      </c>
    </row>
    <row r="10" spans="1:35" hidden="1" x14ac:dyDescent="0.2">
      <c r="A10">
        <v>22</v>
      </c>
      <c r="B10" t="s">
        <v>12</v>
      </c>
      <c r="C10">
        <v>-11.775120900646</v>
      </c>
      <c r="D10">
        <v>5.5327977114705502E-2</v>
      </c>
      <c r="E10">
        <v>-10.1270569244575</v>
      </c>
      <c r="F10">
        <v>0.82659340323948405</v>
      </c>
      <c r="G10" t="s">
        <v>13</v>
      </c>
      <c r="H10" t="s">
        <v>19</v>
      </c>
      <c r="I10">
        <v>0.84982974518369703</v>
      </c>
      <c r="J10">
        <v>4.0591741065046302E-2</v>
      </c>
      <c r="K10">
        <v>0.19242208196882701</v>
      </c>
      <c r="L10">
        <v>1.06463245475352E-2</v>
      </c>
      <c r="N10">
        <f>STDEV(I10:I11)</f>
        <v>4.0031942059577906E-2</v>
      </c>
    </row>
    <row r="11" spans="1:35" hidden="1" x14ac:dyDescent="0.2">
      <c r="A11">
        <v>22</v>
      </c>
      <c r="B11" t="s">
        <v>12</v>
      </c>
      <c r="C11">
        <v>-11.852982948094599</v>
      </c>
      <c r="D11">
        <v>5.67967234909144E-2</v>
      </c>
      <c r="E11">
        <v>-10.1270569244575</v>
      </c>
      <c r="F11">
        <v>0.82659340323948405</v>
      </c>
      <c r="G11" t="s">
        <v>13</v>
      </c>
      <c r="H11" t="s">
        <v>19</v>
      </c>
      <c r="I11">
        <v>0.90644346057248604</v>
      </c>
      <c r="J11">
        <v>4.0938609397889701E-2</v>
      </c>
      <c r="K11">
        <v>0.17800813568534099</v>
      </c>
      <c r="L11">
        <v>1.0110278861653501E-2</v>
      </c>
    </row>
    <row r="12" spans="1:35" x14ac:dyDescent="0.2">
      <c r="A12">
        <v>24</v>
      </c>
      <c r="B12" t="s">
        <v>12</v>
      </c>
      <c r="C12">
        <v>-10.951469433483901</v>
      </c>
      <c r="D12">
        <v>2.0415346567455198E-2</v>
      </c>
      <c r="E12">
        <v>-10.9581161383501</v>
      </c>
      <c r="F12">
        <v>1.79145672194132</v>
      </c>
      <c r="G12" t="s">
        <v>16</v>
      </c>
      <c r="H12" t="s">
        <v>20</v>
      </c>
      <c r="J12">
        <v>1.81377566775844</v>
      </c>
      <c r="L12">
        <v>2.0551493313219201E-2</v>
      </c>
    </row>
    <row r="13" spans="1:35" x14ac:dyDescent="0.2">
      <c r="A13">
        <v>24</v>
      </c>
      <c r="B13" t="s">
        <v>12</v>
      </c>
      <c r="C13">
        <v>-11.108310786073501</v>
      </c>
      <c r="D13">
        <v>2.9787783021435501E-2</v>
      </c>
      <c r="E13">
        <v>-10.9581161383501</v>
      </c>
      <c r="F13">
        <v>1.79145672194132</v>
      </c>
      <c r="G13" t="s">
        <v>16</v>
      </c>
      <c r="H13" t="s">
        <v>20</v>
      </c>
      <c r="I13">
        <v>-1.07819587163165</v>
      </c>
      <c r="J13">
        <v>0.12655149197671101</v>
      </c>
      <c r="K13">
        <v>0.86054045788106903</v>
      </c>
      <c r="L13">
        <v>2.5633592440528E-2</v>
      </c>
    </row>
    <row r="14" spans="1:35" hidden="1" x14ac:dyDescent="0.2">
      <c r="A14">
        <v>27</v>
      </c>
      <c r="B14" t="s">
        <v>12</v>
      </c>
      <c r="C14">
        <v>-12.961329284157101</v>
      </c>
      <c r="D14">
        <v>0.120054659631225</v>
      </c>
      <c r="E14">
        <v>-10.1270569244575</v>
      </c>
      <c r="F14">
        <v>0.82659340323948405</v>
      </c>
      <c r="G14" t="s">
        <v>13</v>
      </c>
      <c r="H14" t="s">
        <v>21</v>
      </c>
      <c r="I14">
        <v>1.64338373412627</v>
      </c>
      <c r="J14">
        <v>7.5571240862658901E-2</v>
      </c>
      <c r="K14">
        <v>5.8761267347982898E-2</v>
      </c>
      <c r="L14">
        <v>7.0545639509615099E-3</v>
      </c>
      <c r="AG14" t="s">
        <v>12</v>
      </c>
      <c r="AH14">
        <v>1.64338373412627</v>
      </c>
      <c r="AI14">
        <v>1</v>
      </c>
    </row>
    <row r="15" spans="1:35" hidden="1" x14ac:dyDescent="0.2">
      <c r="A15">
        <v>27</v>
      </c>
      <c r="B15" t="s">
        <v>12</v>
      </c>
      <c r="C15">
        <v>-13.1315512439702</v>
      </c>
      <c r="D15">
        <v>5.0185120089013997E-2</v>
      </c>
      <c r="E15">
        <v>-10.1270569244575</v>
      </c>
      <c r="F15">
        <v>0.82659340323948405</v>
      </c>
      <c r="G15" t="s">
        <v>13</v>
      </c>
      <c r="H15" t="s">
        <v>21</v>
      </c>
      <c r="I15">
        <v>1.74999913543715</v>
      </c>
      <c r="J15">
        <v>3.12845077979595E-2</v>
      </c>
      <c r="K15">
        <v>4.9563811444783099E-2</v>
      </c>
      <c r="L15">
        <v>2.4873658294256901E-3</v>
      </c>
      <c r="AG15" t="s">
        <v>12</v>
      </c>
      <c r="AH15">
        <v>1.74999913543715</v>
      </c>
      <c r="AI15">
        <v>1</v>
      </c>
    </row>
    <row r="16" spans="1:35" hidden="1" x14ac:dyDescent="0.2">
      <c r="A16">
        <v>30</v>
      </c>
      <c r="B16" t="s">
        <v>12</v>
      </c>
      <c r="C16">
        <v>-13.9875607514309</v>
      </c>
      <c r="D16">
        <v>0.25834717183342099</v>
      </c>
      <c r="E16">
        <v>-10.9581161383501</v>
      </c>
      <c r="F16">
        <v>1.79145672194132</v>
      </c>
      <c r="G16" t="s">
        <v>16</v>
      </c>
      <c r="H16" t="s">
        <v>22</v>
      </c>
      <c r="I16">
        <v>1.7655426766625</v>
      </c>
      <c r="J16">
        <v>0.16084232805132201</v>
      </c>
      <c r="K16">
        <v>4.8342479452447303E-2</v>
      </c>
      <c r="L16">
        <v>1.2489142845955E-2</v>
      </c>
      <c r="AG16" t="s">
        <v>32</v>
      </c>
      <c r="AH16">
        <v>1.73829117973225</v>
      </c>
    </row>
    <row r="17" spans="1:34" hidden="1" x14ac:dyDescent="0.2">
      <c r="A17">
        <v>30</v>
      </c>
      <c r="B17" t="s">
        <v>12</v>
      </c>
      <c r="C17">
        <v>-14.200454862359001</v>
      </c>
      <c r="D17">
        <v>0.187897350837752</v>
      </c>
      <c r="E17">
        <v>-10.9581161383501</v>
      </c>
      <c r="F17">
        <v>1.79145672194132</v>
      </c>
      <c r="G17" t="s">
        <v>16</v>
      </c>
      <c r="H17" t="s">
        <v>22</v>
      </c>
      <c r="I17">
        <v>1.8974226853659</v>
      </c>
      <c r="J17">
        <v>0.11585300854762599</v>
      </c>
      <c r="K17">
        <v>3.9072408579796603E-2</v>
      </c>
      <c r="L17">
        <v>7.3416020629940501E-3</v>
      </c>
      <c r="AG17" t="s">
        <v>32</v>
      </c>
      <c r="AH17">
        <v>1.88502484548449</v>
      </c>
    </row>
    <row r="18" spans="1:34" hidden="1" x14ac:dyDescent="0.2">
      <c r="A18">
        <v>35</v>
      </c>
      <c r="B18" t="s">
        <v>12</v>
      </c>
      <c r="C18">
        <v>-11.285247787707</v>
      </c>
      <c r="D18">
        <v>2.69564411178412E-2</v>
      </c>
      <c r="E18">
        <v>-10.1270569244575</v>
      </c>
      <c r="F18">
        <v>0.82659340323948405</v>
      </c>
      <c r="G18" t="s">
        <v>13</v>
      </c>
      <c r="H18" t="s">
        <v>23</v>
      </c>
      <c r="I18">
        <v>0.46286982227172202</v>
      </c>
      <c r="J18">
        <v>2.3283584692220201E-2</v>
      </c>
      <c r="K18">
        <v>0.31405383357904099</v>
      </c>
      <c r="L18">
        <v>8.4657736727057203E-3</v>
      </c>
      <c r="AG18" t="s">
        <v>35</v>
      </c>
      <c r="AH18">
        <v>1.76474927844706</v>
      </c>
    </row>
    <row r="19" spans="1:34" hidden="1" x14ac:dyDescent="0.2">
      <c r="A19">
        <v>35</v>
      </c>
      <c r="B19" t="s">
        <v>12</v>
      </c>
      <c r="C19">
        <v>-11.398142366741</v>
      </c>
      <c r="D19">
        <v>4.0463105696606397E-2</v>
      </c>
      <c r="E19">
        <v>-10.1270569244575</v>
      </c>
      <c r="F19">
        <v>0.82659340323948405</v>
      </c>
      <c r="G19" t="s">
        <v>13</v>
      </c>
      <c r="H19" t="s">
        <v>23</v>
      </c>
      <c r="I19">
        <v>0.55803148631293398</v>
      </c>
      <c r="J19">
        <v>3.3321305778405502E-2</v>
      </c>
      <c r="K19">
        <v>0.28052696063750399</v>
      </c>
      <c r="L19">
        <v>1.1350992059023001E-2</v>
      </c>
      <c r="AG19" t="s">
        <v>35</v>
      </c>
      <c r="AH19">
        <v>1.79139001953757</v>
      </c>
    </row>
    <row r="20" spans="1:34" hidden="1" x14ac:dyDescent="0.2">
      <c r="A20">
        <v>37</v>
      </c>
      <c r="B20" t="s">
        <v>12</v>
      </c>
      <c r="C20">
        <v>-15.4728409245752</v>
      </c>
      <c r="D20">
        <v>0.91423600516761105</v>
      </c>
      <c r="E20">
        <v>-10.9581161383501</v>
      </c>
      <c r="F20">
        <v>1.79145672194132</v>
      </c>
      <c r="G20" t="s">
        <v>16</v>
      </c>
      <c r="H20" t="s">
        <v>24</v>
      </c>
      <c r="I20">
        <v>2.6683850224205301</v>
      </c>
      <c r="J20">
        <v>0.54766616550977798</v>
      </c>
      <c r="K20">
        <v>1.0946617372196699E-2</v>
      </c>
      <c r="L20">
        <v>1.0007791736455499E-2</v>
      </c>
      <c r="AG20" t="s">
        <v>36</v>
      </c>
      <c r="AH20">
        <v>2.0551139627886901</v>
      </c>
    </row>
    <row r="21" spans="1:34" hidden="1" x14ac:dyDescent="0.2">
      <c r="A21">
        <v>37</v>
      </c>
      <c r="B21" t="s">
        <v>12</v>
      </c>
      <c r="C21">
        <v>-16.3658464576014</v>
      </c>
      <c r="D21">
        <v>0.81565193081394305</v>
      </c>
      <c r="E21">
        <v>-10.9581161383501</v>
      </c>
      <c r="F21">
        <v>1.79145672194132</v>
      </c>
      <c r="G21" t="s">
        <v>16</v>
      </c>
      <c r="H21" t="s">
        <v>24</v>
      </c>
      <c r="I21">
        <v>3.2013374583410101</v>
      </c>
      <c r="J21">
        <v>0.48543712577568399</v>
      </c>
      <c r="K21">
        <v>4.4818009334872903E-3</v>
      </c>
      <c r="L21">
        <v>3.6555895849226501E-3</v>
      </c>
      <c r="AG21" t="s">
        <v>36</v>
      </c>
      <c r="AH21">
        <v>2.1231776840446499</v>
      </c>
    </row>
    <row r="22" spans="1:34" hidden="1" x14ac:dyDescent="0.2">
      <c r="A22">
        <v>39</v>
      </c>
      <c r="B22" t="s">
        <v>12</v>
      </c>
      <c r="C22">
        <v>-15.2689143826943</v>
      </c>
      <c r="D22">
        <v>0.58571982542062295</v>
      </c>
      <c r="E22">
        <v>-10.9581161383501</v>
      </c>
      <c r="F22">
        <v>1.79145672194132</v>
      </c>
      <c r="G22" t="s">
        <v>16</v>
      </c>
      <c r="H22" t="s">
        <v>25</v>
      </c>
      <c r="I22">
        <v>2.5460763987033799</v>
      </c>
      <c r="J22">
        <v>0.351751684592578</v>
      </c>
      <c r="K22">
        <v>1.34228306180101E-2</v>
      </c>
      <c r="L22">
        <v>7.8620180062315206E-3</v>
      </c>
      <c r="AG22" t="s">
        <v>37</v>
      </c>
      <c r="AH22">
        <v>1.62719891215882</v>
      </c>
    </row>
    <row r="23" spans="1:34" hidden="1" x14ac:dyDescent="0.2">
      <c r="A23">
        <v>39</v>
      </c>
      <c r="B23" t="s">
        <v>12</v>
      </c>
      <c r="C23">
        <v>-15.179461749194401</v>
      </c>
      <c r="D23">
        <v>0.171221883969007</v>
      </c>
      <c r="E23">
        <v>-10.9581161383501</v>
      </c>
      <c r="F23">
        <v>1.79145672194132</v>
      </c>
      <c r="G23" t="s">
        <v>16</v>
      </c>
      <c r="H23" t="s">
        <v>25</v>
      </c>
      <c r="I23">
        <v>2.49232226416837</v>
      </c>
      <c r="J23">
        <v>0.10295769284416501</v>
      </c>
      <c r="K23">
        <v>1.4678879150680601E-2</v>
      </c>
      <c r="L23">
        <v>2.5133453427329099E-3</v>
      </c>
      <c r="AG23" t="s">
        <v>37</v>
      </c>
      <c r="AH23">
        <v>1.63155246610889</v>
      </c>
    </row>
    <row r="24" spans="1:34" hidden="1" x14ac:dyDescent="0.2">
      <c r="A24">
        <v>41</v>
      </c>
      <c r="B24" t="s">
        <v>12</v>
      </c>
      <c r="C24">
        <v>-14.9403210755657</v>
      </c>
      <c r="D24">
        <v>0.65708447304669504</v>
      </c>
      <c r="E24">
        <v>-10.9581161383501</v>
      </c>
      <c r="F24">
        <v>1.79145672194132</v>
      </c>
      <c r="G24" t="s">
        <v>16</v>
      </c>
      <c r="H24" t="s">
        <v>26</v>
      </c>
      <c r="I24">
        <v>2.3482456387537001</v>
      </c>
      <c r="J24">
        <v>0.39670909741607202</v>
      </c>
      <c r="K24">
        <v>1.8644484065229599E-2</v>
      </c>
      <c r="L24">
        <v>1.2251000987228901E-2</v>
      </c>
    </row>
    <row r="25" spans="1:34" hidden="1" x14ac:dyDescent="0.2">
      <c r="A25">
        <v>41</v>
      </c>
      <c r="B25" t="s">
        <v>12</v>
      </c>
      <c r="C25">
        <v>-15.0877583343305</v>
      </c>
      <c r="D25">
        <v>0.41044657790354999</v>
      </c>
      <c r="E25">
        <v>-10.9581161383501</v>
      </c>
      <c r="F25">
        <v>1.79145672194132</v>
      </c>
      <c r="G25" t="s">
        <v>16</v>
      </c>
      <c r="H25" t="s">
        <v>26</v>
      </c>
      <c r="I25">
        <v>2.4371410619503</v>
      </c>
      <c r="J25">
        <v>0.24715988509176501</v>
      </c>
      <c r="K25">
        <v>1.6088634370895701E-2</v>
      </c>
      <c r="L25">
        <v>6.6035249206755804E-3</v>
      </c>
    </row>
    <row r="26" spans="1:34" hidden="1" x14ac:dyDescent="0.2">
      <c r="A26">
        <v>44</v>
      </c>
      <c r="B26" t="s">
        <v>12</v>
      </c>
      <c r="C26">
        <v>-14.5552795025291</v>
      </c>
      <c r="D26">
        <v>0.61184363878106196</v>
      </c>
      <c r="E26">
        <v>-10.9581161383501</v>
      </c>
      <c r="F26">
        <v>1.79145672194132</v>
      </c>
      <c r="G26" t="s">
        <v>16</v>
      </c>
      <c r="H26" t="s">
        <v>27</v>
      </c>
      <c r="I26">
        <v>2.1148036960655601</v>
      </c>
      <c r="J26">
        <v>0.37272120807806303</v>
      </c>
      <c r="K26">
        <v>2.7401339931372899E-2</v>
      </c>
      <c r="L26">
        <v>1.6765335531087999E-2</v>
      </c>
    </row>
    <row r="27" spans="1:34" hidden="1" x14ac:dyDescent="0.2">
      <c r="A27">
        <v>44</v>
      </c>
      <c r="B27" t="s">
        <v>12</v>
      </c>
      <c r="C27">
        <v>-15.092488563002</v>
      </c>
      <c r="D27">
        <v>0.234449840278527</v>
      </c>
      <c r="E27">
        <v>-10.9581161383501</v>
      </c>
      <c r="F27">
        <v>1.79145672194132</v>
      </c>
      <c r="G27" t="s">
        <v>16</v>
      </c>
      <c r="H27" t="s">
        <v>27</v>
      </c>
      <c r="I27">
        <v>2.4399893683976899</v>
      </c>
      <c r="J27">
        <v>0.14116849211697799</v>
      </c>
      <c r="K27">
        <v>1.6012711159950701E-2</v>
      </c>
      <c r="L27">
        <v>3.7541775738766298E-3</v>
      </c>
    </row>
    <row r="28" spans="1:34" hidden="1" x14ac:dyDescent="0.2">
      <c r="A28">
        <v>45</v>
      </c>
      <c r="B28" t="s">
        <v>12</v>
      </c>
      <c r="C28">
        <v>-14.2220059653493</v>
      </c>
      <c r="D28">
        <v>0.29602259215551802</v>
      </c>
      <c r="E28">
        <v>-10.9581161383501</v>
      </c>
      <c r="F28">
        <v>1.79145672194132</v>
      </c>
      <c r="G28" t="s">
        <v>16</v>
      </c>
      <c r="H28" t="s">
        <v>28</v>
      </c>
      <c r="I28">
        <v>1.9107048024728099</v>
      </c>
      <c r="J28">
        <v>0.18236235091417699</v>
      </c>
      <c r="K28">
        <v>3.8239363836994701E-2</v>
      </c>
      <c r="L28">
        <v>1.13197156054051E-2</v>
      </c>
    </row>
    <row r="29" spans="1:34" hidden="1" x14ac:dyDescent="0.2">
      <c r="A29">
        <v>45</v>
      </c>
      <c r="B29" t="s">
        <v>12</v>
      </c>
      <c r="C29">
        <v>-14.718934005732899</v>
      </c>
      <c r="D29">
        <v>0.11741071399750901</v>
      </c>
      <c r="E29">
        <v>-10.9581161383501</v>
      </c>
      <c r="F29">
        <v>1.79145672194132</v>
      </c>
      <c r="G29" t="s">
        <v>16</v>
      </c>
      <c r="H29" t="s">
        <v>28</v>
      </c>
      <c r="I29">
        <v>2.2142811261142299</v>
      </c>
      <c r="J29">
        <v>7.1221016938098403E-2</v>
      </c>
      <c r="K29">
        <v>2.32647051483027E-2</v>
      </c>
      <c r="L29">
        <v>2.7315256424037399E-3</v>
      </c>
    </row>
    <row r="30" spans="1:34" hidden="1" x14ac:dyDescent="0.2">
      <c r="A30">
        <v>61</v>
      </c>
      <c r="B30" t="s">
        <v>12</v>
      </c>
      <c r="C30">
        <v>-11.291107585313799</v>
      </c>
      <c r="D30">
        <v>9.2142600148128001E-2</v>
      </c>
      <c r="E30">
        <v>-10.1270569244575</v>
      </c>
      <c r="F30">
        <v>0.82659340323948405</v>
      </c>
      <c r="G30" t="s">
        <v>13</v>
      </c>
      <c r="H30" t="s">
        <v>29</v>
      </c>
      <c r="I30">
        <v>0.46792444929871702</v>
      </c>
      <c r="J30">
        <v>7.9375699104307196E-2</v>
      </c>
      <c r="K30">
        <v>0.31221892302934501</v>
      </c>
      <c r="L30">
        <v>2.8768663383372101E-2</v>
      </c>
    </row>
    <row r="31" spans="1:34" hidden="1" x14ac:dyDescent="0.2">
      <c r="A31">
        <v>61</v>
      </c>
      <c r="B31" t="s">
        <v>12</v>
      </c>
      <c r="C31">
        <v>-11.364653676574299</v>
      </c>
      <c r="D31">
        <v>2.3134344177836601E-2</v>
      </c>
      <c r="E31">
        <v>-10.1270569244575</v>
      </c>
      <c r="F31">
        <v>0.82659340323948405</v>
      </c>
      <c r="G31" t="s">
        <v>13</v>
      </c>
      <c r="H31" t="s">
        <v>29</v>
      </c>
      <c r="I31">
        <v>0.53026990244585204</v>
      </c>
      <c r="J31">
        <v>1.9307472272017501E-2</v>
      </c>
      <c r="K31">
        <v>0.29008051630188197</v>
      </c>
      <c r="L31">
        <v>6.7108225034122797E-3</v>
      </c>
    </row>
    <row r="32" spans="1:34" hidden="1" x14ac:dyDescent="0.2">
      <c r="A32">
        <v>62</v>
      </c>
      <c r="B32" t="s">
        <v>12</v>
      </c>
      <c r="C32">
        <v>-12.033193343462999</v>
      </c>
      <c r="D32">
        <v>0.13967430257410399</v>
      </c>
      <c r="E32">
        <v>-10.1270569244575</v>
      </c>
      <c r="F32">
        <v>0.82659340323948405</v>
      </c>
      <c r="G32" t="s">
        <v>13</v>
      </c>
      <c r="H32" t="s">
        <v>30</v>
      </c>
      <c r="I32">
        <v>1.0340048646392801</v>
      </c>
      <c r="J32">
        <v>9.7204761162781997E-2</v>
      </c>
      <c r="K32">
        <v>0.14865361380457801</v>
      </c>
      <c r="L32">
        <v>2.0763089833274798E-2</v>
      </c>
    </row>
    <row r="33" spans="1:35" hidden="1" x14ac:dyDescent="0.2">
      <c r="A33">
        <v>62</v>
      </c>
      <c r="B33" t="s">
        <v>12</v>
      </c>
      <c r="C33">
        <v>-12.1156431894658</v>
      </c>
      <c r="D33">
        <v>3.7152587876183397E-2</v>
      </c>
      <c r="E33">
        <v>-10.1270569244575</v>
      </c>
      <c r="F33">
        <v>0.82659340323948405</v>
      </c>
      <c r="G33" t="s">
        <v>13</v>
      </c>
      <c r="H33" t="s">
        <v>30</v>
      </c>
      <c r="I33">
        <v>1.0909866817884699</v>
      </c>
      <c r="J33">
        <v>2.5503491898479801E-2</v>
      </c>
      <c r="K33">
        <v>0.13688881321899299</v>
      </c>
      <c r="L33">
        <v>5.0857736623851199E-3</v>
      </c>
    </row>
    <row r="34" spans="1:35" hidden="1" x14ac:dyDescent="0.2">
      <c r="A34">
        <v>64</v>
      </c>
      <c r="B34" t="s">
        <v>12</v>
      </c>
      <c r="C34">
        <v>-12.650010435004599</v>
      </c>
      <c r="D34">
        <v>3.97908422688171E-2</v>
      </c>
      <c r="E34">
        <v>-10.9581161383501</v>
      </c>
      <c r="F34">
        <v>1.79145672194132</v>
      </c>
      <c r="G34" t="s">
        <v>16</v>
      </c>
      <c r="H34" t="s">
        <v>31</v>
      </c>
      <c r="I34">
        <v>0.88182179042001596</v>
      </c>
      <c r="J34">
        <v>2.8897545360712502E-2</v>
      </c>
      <c r="K34">
        <v>0.18417032012828799</v>
      </c>
      <c r="L34">
        <v>7.3282921588222602E-3</v>
      </c>
    </row>
    <row r="35" spans="1:35" hidden="1" x14ac:dyDescent="0.2">
      <c r="A35">
        <v>64</v>
      </c>
      <c r="B35" t="s">
        <v>12</v>
      </c>
      <c r="C35">
        <v>-12.9444269104958</v>
      </c>
      <c r="D35">
        <v>0.113956677327078</v>
      </c>
      <c r="E35">
        <v>-10.9581161383501</v>
      </c>
      <c r="F35">
        <v>1.79145672194132</v>
      </c>
      <c r="G35" t="s">
        <v>16</v>
      </c>
      <c r="H35" t="s">
        <v>31</v>
      </c>
      <c r="I35">
        <v>1.08942438157227</v>
      </c>
      <c r="J35">
        <v>7.8254135002396502E-2</v>
      </c>
      <c r="K35">
        <v>0.137200657401501</v>
      </c>
      <c r="L35">
        <v>1.5634931044565901E-2</v>
      </c>
    </row>
    <row r="36" spans="1:35" hidden="1" x14ac:dyDescent="0.2">
      <c r="A36">
        <v>2</v>
      </c>
      <c r="B36" t="s">
        <v>32</v>
      </c>
      <c r="C36">
        <v>-11.806122576490001</v>
      </c>
      <c r="D36">
        <v>4.1513489966388997E-2</v>
      </c>
      <c r="E36">
        <v>-10.1270569244575</v>
      </c>
      <c r="F36">
        <v>0.82659340323948405</v>
      </c>
      <c r="G36" t="s">
        <v>13</v>
      </c>
      <c r="H36" t="s">
        <v>14</v>
      </c>
      <c r="I36">
        <v>0.87249159104621099</v>
      </c>
      <c r="J36">
        <v>3.02367243898491E-2</v>
      </c>
      <c r="K36">
        <v>0.18654819556327101</v>
      </c>
      <c r="L36">
        <v>7.7442666447638496E-3</v>
      </c>
    </row>
    <row r="37" spans="1:35" hidden="1" x14ac:dyDescent="0.2">
      <c r="A37">
        <v>2</v>
      </c>
      <c r="B37" t="s">
        <v>32</v>
      </c>
      <c r="C37">
        <v>-11.9268490139664</v>
      </c>
      <c r="D37">
        <v>2.2574900947601201E-2</v>
      </c>
      <c r="E37">
        <v>-10.1270569244575</v>
      </c>
      <c r="F37">
        <v>0.82659340323948405</v>
      </c>
      <c r="G37" t="s">
        <v>13</v>
      </c>
      <c r="H37" t="s">
        <v>14</v>
      </c>
      <c r="I37">
        <v>0.95927421823221204</v>
      </c>
      <c r="J37">
        <v>1.6024705907644699E-2</v>
      </c>
      <c r="K37">
        <v>0.165333259167527</v>
      </c>
      <c r="L37">
        <v>3.732381949051E-3</v>
      </c>
    </row>
    <row r="38" spans="1:35" hidden="1" x14ac:dyDescent="0.2">
      <c r="A38">
        <v>3</v>
      </c>
      <c r="B38" t="s">
        <v>32</v>
      </c>
      <c r="C38">
        <v>-11.7884299047266</v>
      </c>
      <c r="D38">
        <v>2.6587022091265702E-2</v>
      </c>
      <c r="E38">
        <v>-10.1270569244575</v>
      </c>
      <c r="F38">
        <v>0.82659340323948405</v>
      </c>
      <c r="G38" t="s">
        <v>13</v>
      </c>
      <c r="H38" t="s">
        <v>15</v>
      </c>
      <c r="I38">
        <v>0.85957860406369802</v>
      </c>
      <c r="J38">
        <v>1.9444494080299499E-2</v>
      </c>
      <c r="K38">
        <v>0.189878102164558</v>
      </c>
      <c r="L38">
        <v>5.04829329689671E-3</v>
      </c>
    </row>
    <row r="39" spans="1:35" hidden="1" x14ac:dyDescent="0.2">
      <c r="A39">
        <v>3</v>
      </c>
      <c r="B39" t="s">
        <v>32</v>
      </c>
      <c r="C39">
        <v>-11.8326637950627</v>
      </c>
      <c r="D39">
        <v>8.00040410593965E-2</v>
      </c>
      <c r="E39">
        <v>-10.1270569244575</v>
      </c>
      <c r="F39">
        <v>0.82659340323948405</v>
      </c>
      <c r="G39" t="s">
        <v>13</v>
      </c>
      <c r="H39" t="s">
        <v>15</v>
      </c>
      <c r="I39">
        <v>0.89176504434938297</v>
      </c>
      <c r="J39">
        <v>5.7923738675874803E-2</v>
      </c>
      <c r="K39">
        <v>0.181662107323245</v>
      </c>
      <c r="L39">
        <v>1.45337026932254E-2</v>
      </c>
    </row>
    <row r="40" spans="1:35" hidden="1" x14ac:dyDescent="0.2">
      <c r="A40">
        <v>19</v>
      </c>
      <c r="B40" t="s">
        <v>32</v>
      </c>
      <c r="C40">
        <v>-13.4417583915025</v>
      </c>
      <c r="D40">
        <v>0.108788824073762</v>
      </c>
      <c r="E40">
        <v>-10.9581161383501</v>
      </c>
      <c r="F40">
        <v>1.79145672194132</v>
      </c>
      <c r="G40" t="s">
        <v>16</v>
      </c>
      <c r="H40" t="s">
        <v>17</v>
      </c>
      <c r="I40">
        <v>1.41989957388282</v>
      </c>
      <c r="J40">
        <v>7.03234422263284E-2</v>
      </c>
      <c r="K40">
        <v>8.3438766360174693E-2</v>
      </c>
      <c r="L40">
        <v>9.0772052744888098E-3</v>
      </c>
    </row>
    <row r="41" spans="1:35" hidden="1" x14ac:dyDescent="0.2">
      <c r="A41">
        <v>19</v>
      </c>
      <c r="B41" t="s">
        <v>32</v>
      </c>
      <c r="C41">
        <v>-13.6619808598898</v>
      </c>
      <c r="D41">
        <v>0.62140980276203595</v>
      </c>
      <c r="E41">
        <v>-10.9581161383501</v>
      </c>
      <c r="F41">
        <v>1.79145672194132</v>
      </c>
      <c r="G41" t="s">
        <v>16</v>
      </c>
      <c r="H41" t="s">
        <v>17</v>
      </c>
      <c r="I41">
        <v>1.5609443868049</v>
      </c>
      <c r="J41">
        <v>0.39459245399127701</v>
      </c>
      <c r="K41">
        <v>6.6946283394351006E-2</v>
      </c>
      <c r="L41">
        <v>4.1601076759734998E-2</v>
      </c>
    </row>
    <row r="42" spans="1:35" hidden="1" x14ac:dyDescent="0.2">
      <c r="A42">
        <v>20</v>
      </c>
      <c r="B42" t="s">
        <v>32</v>
      </c>
      <c r="C42">
        <v>-12.6188036174447</v>
      </c>
      <c r="D42">
        <v>2.9982449862847899E-2</v>
      </c>
      <c r="E42">
        <v>-10.1270569244575</v>
      </c>
      <c r="F42">
        <v>0.82659340323948405</v>
      </c>
      <c r="G42" t="s">
        <v>13</v>
      </c>
      <c r="H42" t="s">
        <v>18</v>
      </c>
      <c r="I42">
        <v>1.4251365321589</v>
      </c>
      <c r="J42">
        <v>1.93670712738001E-2</v>
      </c>
      <c r="K42">
        <v>8.27652747208973E-2</v>
      </c>
      <c r="L42">
        <v>2.4815056997041299E-3</v>
      </c>
    </row>
    <row r="43" spans="1:35" hidden="1" x14ac:dyDescent="0.2">
      <c r="A43">
        <v>20</v>
      </c>
      <c r="B43" t="s">
        <v>32</v>
      </c>
      <c r="C43">
        <v>-12.942892606803101</v>
      </c>
      <c r="D43">
        <v>0.57929401474562303</v>
      </c>
      <c r="E43">
        <v>-10.1270569244575</v>
      </c>
      <c r="F43">
        <v>0.82659340323948405</v>
      </c>
      <c r="G43" t="s">
        <v>13</v>
      </c>
      <c r="H43" t="s">
        <v>18</v>
      </c>
      <c r="I43">
        <v>1.6317716068175301</v>
      </c>
      <c r="J43">
        <v>0.36507439572064798</v>
      </c>
      <c r="K43">
        <v>5.9854678336094397E-2</v>
      </c>
      <c r="L43">
        <v>3.4673456914624E-2</v>
      </c>
    </row>
    <row r="44" spans="1:35" hidden="1" x14ac:dyDescent="0.2">
      <c r="A44">
        <v>22</v>
      </c>
      <c r="B44" t="s">
        <v>32</v>
      </c>
      <c r="C44">
        <v>-11.708152855823901</v>
      </c>
      <c r="D44">
        <v>9.4810084266630998E-3</v>
      </c>
      <c r="E44">
        <v>-10.1270569244575</v>
      </c>
      <c r="F44">
        <v>0.82659340323948405</v>
      </c>
      <c r="G44" t="s">
        <v>13</v>
      </c>
      <c r="H44" t="s">
        <v>19</v>
      </c>
      <c r="I44">
        <v>0.80029286684110801</v>
      </c>
      <c r="J44">
        <v>7.0725227254762402E-3</v>
      </c>
      <c r="K44">
        <v>0.20574948728369</v>
      </c>
      <c r="L44">
        <v>1.95071262271828E-3</v>
      </c>
    </row>
    <row r="45" spans="1:35" hidden="1" x14ac:dyDescent="0.2">
      <c r="A45">
        <v>22</v>
      </c>
      <c r="B45" t="s">
        <v>32</v>
      </c>
      <c r="C45">
        <v>-11.783936805722</v>
      </c>
      <c r="D45">
        <v>6.5070999950653005E-2</v>
      </c>
      <c r="E45">
        <v>-10.1270569244575</v>
      </c>
      <c r="F45">
        <v>0.82659340323948405</v>
      </c>
      <c r="G45" t="s">
        <v>13</v>
      </c>
      <c r="H45" t="s">
        <v>19</v>
      </c>
      <c r="I45">
        <v>0.85629082926945899</v>
      </c>
      <c r="J45">
        <v>4.7640143349671003E-2</v>
      </c>
      <c r="K45">
        <v>0.19073316277388599</v>
      </c>
      <c r="L45">
        <v>1.2411197625447399E-2</v>
      </c>
    </row>
    <row r="46" spans="1:35" x14ac:dyDescent="0.2">
      <c r="A46">
        <v>24</v>
      </c>
      <c r="B46" t="s">
        <v>32</v>
      </c>
      <c r="C46">
        <v>-11.009497173753701</v>
      </c>
      <c r="D46">
        <v>1.7688740558646401E-2</v>
      </c>
      <c r="E46">
        <v>-10.9581161383501</v>
      </c>
      <c r="F46">
        <v>1.79145672194132</v>
      </c>
      <c r="G46" t="s">
        <v>16</v>
      </c>
      <c r="H46" t="s">
        <v>20</v>
      </c>
      <c r="I46">
        <v>-1.74349694152489</v>
      </c>
      <c r="J46">
        <v>0.209257417800914</v>
      </c>
      <c r="K46">
        <v>0.94991664969143197</v>
      </c>
      <c r="L46">
        <v>1.6802829168730299E-2</v>
      </c>
    </row>
    <row r="47" spans="1:35" x14ac:dyDescent="0.2">
      <c r="A47">
        <v>24</v>
      </c>
      <c r="B47" t="s">
        <v>32</v>
      </c>
      <c r="C47">
        <v>-11.0763461269541</v>
      </c>
      <c r="D47">
        <v>5.6617360349773702E-2</v>
      </c>
      <c r="E47">
        <v>-10.9581161383501</v>
      </c>
      <c r="F47">
        <v>1.79145672194132</v>
      </c>
      <c r="G47" t="s">
        <v>16</v>
      </c>
      <c r="H47" t="s">
        <v>20</v>
      </c>
      <c r="I47">
        <v>-1.22965875136213</v>
      </c>
      <c r="J47">
        <v>0.300828994199349</v>
      </c>
      <c r="K47">
        <v>0.88849168615199103</v>
      </c>
      <c r="L47">
        <v>5.0304053962645298E-2</v>
      </c>
    </row>
    <row r="48" spans="1:35" hidden="1" x14ac:dyDescent="0.2">
      <c r="A48">
        <v>27</v>
      </c>
      <c r="B48" t="s">
        <v>32</v>
      </c>
      <c r="C48">
        <v>-13.112779150239399</v>
      </c>
      <c r="D48">
        <v>5.00716282142179E-2</v>
      </c>
      <c r="E48">
        <v>-10.1270569244575</v>
      </c>
      <c r="F48">
        <v>0.82659340323948405</v>
      </c>
      <c r="G48" t="s">
        <v>13</v>
      </c>
      <c r="H48" t="s">
        <v>21</v>
      </c>
      <c r="I48">
        <v>1.73829117973225</v>
      </c>
      <c r="J48">
        <v>3.12446343886068E-2</v>
      </c>
      <c r="K48">
        <v>5.0503015794452301E-2</v>
      </c>
      <c r="L48">
        <v>2.5287682305565901E-3</v>
      </c>
      <c r="AH48">
        <v>1.73829117973225</v>
      </c>
      <c r="AI48">
        <v>2</v>
      </c>
    </row>
    <row r="49" spans="1:35" hidden="1" x14ac:dyDescent="0.2">
      <c r="A49">
        <v>27</v>
      </c>
      <c r="B49" t="s">
        <v>32</v>
      </c>
      <c r="C49">
        <v>-13.3492963619238</v>
      </c>
      <c r="D49">
        <v>0.123450387245311</v>
      </c>
      <c r="E49">
        <v>-10.1270569244575</v>
      </c>
      <c r="F49">
        <v>0.82659340323948405</v>
      </c>
      <c r="G49" t="s">
        <v>13</v>
      </c>
      <c r="H49" t="s">
        <v>21</v>
      </c>
      <c r="I49">
        <v>1.88502484548449</v>
      </c>
      <c r="J49">
        <v>7.6179441846224993E-2</v>
      </c>
      <c r="K49">
        <v>3.9865681520379503E-2</v>
      </c>
      <c r="L49">
        <v>4.9214338214891096E-3</v>
      </c>
      <c r="AH49">
        <v>1.88502484548449</v>
      </c>
      <c r="AI49">
        <v>2</v>
      </c>
    </row>
    <row r="50" spans="1:35" hidden="1" x14ac:dyDescent="0.2">
      <c r="A50">
        <v>29</v>
      </c>
      <c r="B50" t="s">
        <v>32</v>
      </c>
      <c r="C50">
        <v>-13.870278077214101</v>
      </c>
      <c r="D50">
        <v>0.26361888256399102</v>
      </c>
      <c r="E50">
        <v>-10.9581161383501</v>
      </c>
      <c r="F50">
        <v>1.79145672194132</v>
      </c>
      <c r="G50" t="s">
        <v>16</v>
      </c>
      <c r="H50" t="s">
        <v>33</v>
      </c>
      <c r="I50">
        <v>1.69229736240908</v>
      </c>
      <c r="J50">
        <v>0.165168461463609</v>
      </c>
      <c r="K50">
        <v>5.4358083889172203E-2</v>
      </c>
      <c r="L50">
        <v>1.43298173331832E-2</v>
      </c>
    </row>
    <row r="51" spans="1:35" hidden="1" x14ac:dyDescent="0.2">
      <c r="A51">
        <v>29</v>
      </c>
      <c r="B51" t="s">
        <v>32</v>
      </c>
      <c r="C51">
        <v>-14.4169150530164</v>
      </c>
      <c r="D51">
        <v>0.53785126109860404</v>
      </c>
      <c r="E51">
        <v>-10.9581161383501</v>
      </c>
      <c r="F51">
        <v>1.79145672194132</v>
      </c>
      <c r="G51" t="s">
        <v>16</v>
      </c>
      <c r="H51" t="s">
        <v>33</v>
      </c>
      <c r="I51">
        <v>2.0303426166196101</v>
      </c>
      <c r="J51">
        <v>0.32902229790395998</v>
      </c>
      <c r="K51">
        <v>3.1467534524031802E-2</v>
      </c>
      <c r="L51">
        <v>1.6924853127414399E-2</v>
      </c>
    </row>
    <row r="52" spans="1:35" hidden="1" x14ac:dyDescent="0.2">
      <c r="A52">
        <v>33</v>
      </c>
      <c r="B52" t="s">
        <v>32</v>
      </c>
      <c r="C52">
        <v>-11.0940481873065</v>
      </c>
      <c r="D52">
        <v>2.4139723274629599E-2</v>
      </c>
      <c r="E52">
        <v>-10.9581161383501</v>
      </c>
      <c r="F52">
        <v>1.79145672194132</v>
      </c>
      <c r="G52" t="s">
        <v>16</v>
      </c>
      <c r="H52" t="s">
        <v>34</v>
      </c>
      <c r="I52">
        <v>-1.1416381307279999</v>
      </c>
      <c r="J52">
        <v>0.112530618494078</v>
      </c>
      <c r="K52">
        <v>0.87290194507172603</v>
      </c>
      <c r="L52">
        <v>2.1071611399917301E-2</v>
      </c>
    </row>
    <row r="53" spans="1:35" hidden="1" x14ac:dyDescent="0.2">
      <c r="A53">
        <v>33</v>
      </c>
      <c r="B53" t="s">
        <v>32</v>
      </c>
      <c r="C53">
        <v>-11.182288240617</v>
      </c>
      <c r="D53">
        <v>2.92872384771901E-2</v>
      </c>
      <c r="E53">
        <v>-10.9581161383501</v>
      </c>
      <c r="F53">
        <v>1.79145672194132</v>
      </c>
      <c r="G53" t="s">
        <v>16</v>
      </c>
      <c r="H53" t="s">
        <v>34</v>
      </c>
      <c r="I53">
        <v>-0.81831778876433103</v>
      </c>
      <c r="J53">
        <v>8.6405931228489802E-2</v>
      </c>
      <c r="K53">
        <v>0.79917758225963498</v>
      </c>
      <c r="L53">
        <v>2.3405704437262101E-2</v>
      </c>
    </row>
    <row r="54" spans="1:35" hidden="1" x14ac:dyDescent="0.2">
      <c r="A54">
        <v>37</v>
      </c>
      <c r="B54" t="s">
        <v>32</v>
      </c>
      <c r="C54">
        <v>-15.244185443256301</v>
      </c>
      <c r="D54">
        <v>0.81749809618608704</v>
      </c>
      <c r="E54">
        <v>-10.9581161383501</v>
      </c>
      <c r="F54">
        <v>1.79145672194132</v>
      </c>
      <c r="G54" t="s">
        <v>16</v>
      </c>
      <c r="H54" t="s">
        <v>24</v>
      </c>
      <c r="I54">
        <v>2.5312230140498899</v>
      </c>
      <c r="J54">
        <v>0.49111248658696399</v>
      </c>
      <c r="K54">
        <v>1.3758901191889101E-2</v>
      </c>
      <c r="L54">
        <v>1.1247875529981801E-2</v>
      </c>
    </row>
    <row r="55" spans="1:35" hidden="1" x14ac:dyDescent="0.2">
      <c r="A55">
        <v>37</v>
      </c>
      <c r="B55" t="s">
        <v>32</v>
      </c>
      <c r="C55">
        <v>-16.309457210300799</v>
      </c>
      <c r="D55">
        <v>2.39641223509103</v>
      </c>
      <c r="E55">
        <v>-10.9581161383501</v>
      </c>
      <c r="F55">
        <v>1.79145672194132</v>
      </c>
      <c r="G55" t="s">
        <v>16</v>
      </c>
      <c r="H55" t="s">
        <v>24</v>
      </c>
      <c r="I55">
        <v>3.1677729260851999</v>
      </c>
      <c r="J55">
        <v>1.4266028302907501</v>
      </c>
      <c r="K55">
        <v>4.7417876550938697E-3</v>
      </c>
      <c r="L55">
        <v>1.1363277952870499E-2</v>
      </c>
    </row>
    <row r="56" spans="1:35" hidden="1" x14ac:dyDescent="0.2">
      <c r="A56">
        <v>39</v>
      </c>
      <c r="B56" t="s">
        <v>32</v>
      </c>
      <c r="C56">
        <v>-15.2325567686946</v>
      </c>
      <c r="D56">
        <v>0.73031532177672598</v>
      </c>
      <c r="E56">
        <v>-10.9581161383501</v>
      </c>
      <c r="F56">
        <v>1.79145672194132</v>
      </c>
      <c r="G56" t="s">
        <v>16</v>
      </c>
      <c r="H56" t="s">
        <v>25</v>
      </c>
      <c r="I56">
        <v>2.5242365116908201</v>
      </c>
      <c r="J56">
        <v>0.43880898442476501</v>
      </c>
      <c r="K56">
        <v>1.39198328737444E-2</v>
      </c>
      <c r="L56">
        <v>1.01658672242668E-2</v>
      </c>
    </row>
    <row r="57" spans="1:35" hidden="1" x14ac:dyDescent="0.2">
      <c r="A57">
        <v>39</v>
      </c>
      <c r="B57" t="s">
        <v>32</v>
      </c>
      <c r="C57">
        <v>-15.6139194364664</v>
      </c>
      <c r="D57">
        <v>0.68463150523299998</v>
      </c>
      <c r="E57">
        <v>-10.9581161383501</v>
      </c>
      <c r="F57">
        <v>1.79145672194132</v>
      </c>
      <c r="G57" t="s">
        <v>16</v>
      </c>
      <c r="H57" t="s">
        <v>25</v>
      </c>
      <c r="I57">
        <v>2.7528341167162802</v>
      </c>
      <c r="J57">
        <v>0.40952693815388502</v>
      </c>
      <c r="K57">
        <v>9.5062738021628804E-3</v>
      </c>
      <c r="L57">
        <v>6.5082945423318101E-3</v>
      </c>
    </row>
    <row r="58" spans="1:35" hidden="1" x14ac:dyDescent="0.2">
      <c r="A58">
        <v>41</v>
      </c>
      <c r="B58" t="s">
        <v>32</v>
      </c>
      <c r="C58">
        <v>-14.094036713824901</v>
      </c>
      <c r="D58">
        <v>9.3470858959451897E-2</v>
      </c>
      <c r="E58">
        <v>-10.9581161383501</v>
      </c>
      <c r="F58">
        <v>1.79145672194132</v>
      </c>
      <c r="G58" t="s">
        <v>16</v>
      </c>
      <c r="H58" t="s">
        <v>26</v>
      </c>
      <c r="I58">
        <v>1.83166022394248</v>
      </c>
      <c r="J58">
        <v>5.7896231616693099E-2</v>
      </c>
      <c r="K58">
        <v>4.34597274492469E-2</v>
      </c>
      <c r="L58">
        <v>4.0622180548247804E-3</v>
      </c>
    </row>
    <row r="59" spans="1:35" hidden="1" x14ac:dyDescent="0.2">
      <c r="A59">
        <v>41</v>
      </c>
      <c r="B59" t="s">
        <v>32</v>
      </c>
      <c r="C59">
        <v>-15.011114860755599</v>
      </c>
      <c r="D59">
        <v>1.4476937865233901</v>
      </c>
      <c r="E59">
        <v>-10.9581161383501</v>
      </c>
      <c r="F59">
        <v>1.79145672194132</v>
      </c>
      <c r="G59" t="s">
        <v>16</v>
      </c>
      <c r="H59" t="s">
        <v>26</v>
      </c>
      <c r="I59">
        <v>2.3909587251530202</v>
      </c>
      <c r="J59">
        <v>0.87289922137371501</v>
      </c>
      <c r="K59">
        <v>1.7370208029987299E-2</v>
      </c>
      <c r="L59">
        <v>2.5146742235631299E-2</v>
      </c>
    </row>
    <row r="60" spans="1:35" hidden="1" x14ac:dyDescent="0.2">
      <c r="A60">
        <v>44</v>
      </c>
      <c r="B60" t="s">
        <v>32</v>
      </c>
      <c r="C60">
        <v>-14.205520772398099</v>
      </c>
      <c r="D60">
        <v>0.37617511618551402</v>
      </c>
      <c r="E60">
        <v>-10.9581161383501</v>
      </c>
      <c r="F60">
        <v>1.79145672194132</v>
      </c>
      <c r="G60" t="s">
        <v>16</v>
      </c>
      <c r="H60" t="s">
        <v>27</v>
      </c>
      <c r="I60">
        <v>1.9005458831122299</v>
      </c>
      <c r="J60">
        <v>0.23189292574419901</v>
      </c>
      <c r="K60">
        <v>3.8874971793663303E-2</v>
      </c>
      <c r="L60">
        <v>1.46237970311899E-2</v>
      </c>
    </row>
    <row r="61" spans="1:35" hidden="1" x14ac:dyDescent="0.2">
      <c r="A61">
        <v>44</v>
      </c>
      <c r="B61" t="s">
        <v>32</v>
      </c>
      <c r="C61">
        <v>-15.9963029047089</v>
      </c>
      <c r="D61">
        <v>9.7208684899317905</v>
      </c>
      <c r="E61">
        <v>-10.9581161383501</v>
      </c>
      <c r="F61">
        <v>1.79145672194132</v>
      </c>
      <c r="G61" t="s">
        <v>16</v>
      </c>
      <c r="H61" t="s">
        <v>27</v>
      </c>
      <c r="I61">
        <v>2.9811947587291399</v>
      </c>
      <c r="J61">
        <v>5.7970651291684403</v>
      </c>
      <c r="K61">
        <v>6.4854973852075297E-3</v>
      </c>
      <c r="L61">
        <v>6.3044667173398905E-2</v>
      </c>
    </row>
    <row r="62" spans="1:35" hidden="1" x14ac:dyDescent="0.2">
      <c r="A62">
        <v>45</v>
      </c>
      <c r="B62" t="s">
        <v>32</v>
      </c>
      <c r="C62">
        <v>-14.053560403085401</v>
      </c>
      <c r="D62">
        <v>0.33993252875892299</v>
      </c>
      <c r="E62">
        <v>-10.9581161383501</v>
      </c>
      <c r="F62">
        <v>1.79145672194132</v>
      </c>
      <c r="G62" t="s">
        <v>16</v>
      </c>
      <c r="H62" t="s">
        <v>28</v>
      </c>
      <c r="I62">
        <v>1.80656563532991</v>
      </c>
      <c r="J62">
        <v>0.21095149669382501</v>
      </c>
      <c r="K62">
        <v>4.5254902836161702E-2</v>
      </c>
      <c r="L62">
        <v>1.53836135598358E-2</v>
      </c>
    </row>
    <row r="63" spans="1:35" hidden="1" x14ac:dyDescent="0.2">
      <c r="A63">
        <v>45</v>
      </c>
      <c r="B63" t="s">
        <v>32</v>
      </c>
      <c r="C63">
        <v>-14.9126630177867</v>
      </c>
      <c r="D63">
        <v>4.7331876534688497</v>
      </c>
      <c r="E63">
        <v>-10.9581161383501</v>
      </c>
      <c r="F63">
        <v>1.79145672194132</v>
      </c>
      <c r="G63" t="s">
        <v>16</v>
      </c>
      <c r="H63" t="s">
        <v>28</v>
      </c>
      <c r="I63">
        <v>2.33154289481676</v>
      </c>
      <c r="J63">
        <v>2.8591446805137299</v>
      </c>
      <c r="K63">
        <v>1.9167351703441301E-2</v>
      </c>
      <c r="L63">
        <v>9.0722672432423601E-2</v>
      </c>
    </row>
    <row r="64" spans="1:35" hidden="1" x14ac:dyDescent="0.2">
      <c r="A64">
        <v>61</v>
      </c>
      <c r="B64" t="s">
        <v>32</v>
      </c>
      <c r="C64">
        <v>-11.5109143322214</v>
      </c>
      <c r="D64">
        <v>9.9502271505525597E-2</v>
      </c>
      <c r="E64">
        <v>-10.1270569244575</v>
      </c>
      <c r="F64">
        <v>0.82659340323948405</v>
      </c>
      <c r="G64" t="s">
        <v>13</v>
      </c>
      <c r="H64" t="s">
        <v>29</v>
      </c>
      <c r="I64">
        <v>0.64898531938322601</v>
      </c>
      <c r="J64">
        <v>7.8668779750299206E-2</v>
      </c>
      <c r="K64">
        <v>0.25060998128508</v>
      </c>
      <c r="L64">
        <v>2.49362623998227E-2</v>
      </c>
    </row>
    <row r="65" spans="1:12" hidden="1" x14ac:dyDescent="0.2">
      <c r="A65">
        <v>62</v>
      </c>
      <c r="B65" t="s">
        <v>32</v>
      </c>
      <c r="C65">
        <v>-12.3585171125654</v>
      </c>
      <c r="D65">
        <v>5.1518479371042501E-2</v>
      </c>
      <c r="E65">
        <v>-10.1270569244575</v>
      </c>
      <c r="F65">
        <v>0.82659340323948405</v>
      </c>
      <c r="G65" t="s">
        <v>13</v>
      </c>
      <c r="H65" t="s">
        <v>30</v>
      </c>
      <c r="I65">
        <v>1.2548092720587201</v>
      </c>
      <c r="J65">
        <v>3.4195552558759203E-2</v>
      </c>
      <c r="K65">
        <v>0.107371532978402</v>
      </c>
      <c r="L65">
        <v>5.5316181067850299E-3</v>
      </c>
    </row>
    <row r="66" spans="1:12" hidden="1" x14ac:dyDescent="0.2">
      <c r="A66">
        <v>62</v>
      </c>
      <c r="B66" t="s">
        <v>32</v>
      </c>
      <c r="C66">
        <v>-12.3783566033153</v>
      </c>
      <c r="D66">
        <v>8.3206509740934895E-2</v>
      </c>
      <c r="E66">
        <v>-10.1270569244575</v>
      </c>
      <c r="F66">
        <v>0.82659340323948405</v>
      </c>
      <c r="G66" t="s">
        <v>13</v>
      </c>
      <c r="H66" t="s">
        <v>30</v>
      </c>
      <c r="I66">
        <v>1.2679622114770099</v>
      </c>
      <c r="J66">
        <v>5.5098389510570903E-2</v>
      </c>
      <c r="K66">
        <v>0.105262328397868</v>
      </c>
      <c r="L66">
        <v>8.7585109531906902E-3</v>
      </c>
    </row>
    <row r="67" spans="1:12" hidden="1" x14ac:dyDescent="0.2">
      <c r="A67">
        <v>64</v>
      </c>
      <c r="B67" t="s">
        <v>32</v>
      </c>
      <c r="C67">
        <v>-13.0204792227693</v>
      </c>
      <c r="D67">
        <v>3.13009742842923E-2</v>
      </c>
      <c r="E67">
        <v>-10.9581161383501</v>
      </c>
      <c r="F67">
        <v>1.79145672194132</v>
      </c>
      <c r="G67" t="s">
        <v>16</v>
      </c>
      <c r="H67" t="s">
        <v>31</v>
      </c>
      <c r="I67">
        <v>1.14134400415756</v>
      </c>
      <c r="J67">
        <v>2.12469758965276E-2</v>
      </c>
      <c r="K67">
        <v>0.127153140986451</v>
      </c>
      <c r="L67">
        <v>3.98001719618391E-3</v>
      </c>
    </row>
    <row r="68" spans="1:12" hidden="1" x14ac:dyDescent="0.2">
      <c r="A68">
        <v>64</v>
      </c>
      <c r="B68" t="s">
        <v>32</v>
      </c>
      <c r="C68">
        <v>-12.9776540344245</v>
      </c>
      <c r="D68">
        <v>3.5341907222807403E-2</v>
      </c>
      <c r="E68">
        <v>-10.9581161383501</v>
      </c>
      <c r="F68">
        <v>1.79145672194132</v>
      </c>
      <c r="G68" t="s">
        <v>16</v>
      </c>
      <c r="H68" t="s">
        <v>31</v>
      </c>
      <c r="I68">
        <v>1.1121820612431501</v>
      </c>
      <c r="J68">
        <v>2.4143840947647099E-2</v>
      </c>
      <c r="K68">
        <v>0.13271677985709601</v>
      </c>
      <c r="L68">
        <v>4.6904641206192499E-3</v>
      </c>
    </row>
    <row r="69" spans="1:12" hidden="1" x14ac:dyDescent="0.2">
      <c r="A69">
        <v>2</v>
      </c>
      <c r="B69" t="s">
        <v>35</v>
      </c>
      <c r="C69">
        <v>-11.847298488638399</v>
      </c>
      <c r="D69">
        <v>4.1835511446607097E-2</v>
      </c>
      <c r="E69">
        <v>-10.1270569244575</v>
      </c>
      <c r="F69">
        <v>0.82659340323948405</v>
      </c>
      <c r="G69" t="s">
        <v>13</v>
      </c>
      <c r="H69" t="s">
        <v>14</v>
      </c>
      <c r="I69">
        <v>0.90234362034439097</v>
      </c>
      <c r="J69">
        <v>3.0191963710311399E-2</v>
      </c>
      <c r="K69">
        <v>0.17902289716825801</v>
      </c>
      <c r="L69">
        <v>7.4895144636874297E-3</v>
      </c>
    </row>
    <row r="70" spans="1:12" hidden="1" x14ac:dyDescent="0.2">
      <c r="A70">
        <v>2</v>
      </c>
      <c r="B70" t="s">
        <v>35</v>
      </c>
      <c r="C70">
        <v>-11.889882760249501</v>
      </c>
      <c r="D70">
        <v>5.1812148611891699E-2</v>
      </c>
      <c r="E70">
        <v>-10.1270569244575</v>
      </c>
      <c r="F70">
        <v>0.82659340323948405</v>
      </c>
      <c r="G70" t="s">
        <v>13</v>
      </c>
      <c r="H70" t="s">
        <v>14</v>
      </c>
      <c r="I70">
        <v>0.93293611564798196</v>
      </c>
      <c r="J70">
        <v>3.7055061651407102E-2</v>
      </c>
      <c r="K70">
        <v>0.171559379561497</v>
      </c>
      <c r="L70">
        <v>8.8888600696042305E-3</v>
      </c>
    </row>
    <row r="71" spans="1:12" hidden="1" x14ac:dyDescent="0.2">
      <c r="A71">
        <v>3</v>
      </c>
      <c r="B71" t="s">
        <v>35</v>
      </c>
      <c r="C71">
        <v>-11.9236905453697</v>
      </c>
      <c r="D71">
        <v>4.23746619956872E-2</v>
      </c>
      <c r="E71">
        <v>-10.1270569244575</v>
      </c>
      <c r="F71">
        <v>0.82659340323948405</v>
      </c>
      <c r="G71" t="s">
        <v>13</v>
      </c>
      <c r="H71" t="s">
        <v>15</v>
      </c>
      <c r="I71">
        <v>0.95703148916344505</v>
      </c>
      <c r="J71">
        <v>3.0098349983013001E-2</v>
      </c>
      <c r="K71">
        <v>0.16585628461952101</v>
      </c>
      <c r="L71">
        <v>7.0281040006127202E-3</v>
      </c>
    </row>
    <row r="72" spans="1:12" hidden="1" x14ac:dyDescent="0.2">
      <c r="A72">
        <v>3</v>
      </c>
      <c r="B72" t="s">
        <v>35</v>
      </c>
      <c r="C72">
        <v>-11.882689281542399</v>
      </c>
      <c r="D72">
        <v>5.0494020003708097E-2</v>
      </c>
      <c r="E72">
        <v>-10.1270569244575</v>
      </c>
      <c r="F72">
        <v>0.82659340323948405</v>
      </c>
      <c r="G72" t="s">
        <v>13</v>
      </c>
      <c r="H72" t="s">
        <v>15</v>
      </c>
      <c r="I72">
        <v>0.92778763175461199</v>
      </c>
      <c r="J72">
        <v>3.61664317190422E-2</v>
      </c>
      <c r="K72">
        <v>0.17279793773542099</v>
      </c>
      <c r="L72">
        <v>8.7252625246118706E-3</v>
      </c>
    </row>
    <row r="73" spans="1:12" hidden="1" x14ac:dyDescent="0.2">
      <c r="A73">
        <v>19</v>
      </c>
      <c r="B73" t="s">
        <v>35</v>
      </c>
      <c r="C73">
        <v>-13.7099940918621</v>
      </c>
      <c r="D73">
        <v>0.34823536985741999</v>
      </c>
      <c r="E73">
        <v>-10.9581161383501</v>
      </c>
      <c r="F73">
        <v>1.79145672194132</v>
      </c>
      <c r="G73" t="s">
        <v>16</v>
      </c>
      <c r="H73" t="s">
        <v>17</v>
      </c>
      <c r="I73">
        <v>1.5913810066865699</v>
      </c>
      <c r="J73">
        <v>0.22038662799554201</v>
      </c>
      <c r="K73">
        <v>6.3807920312203406E-2</v>
      </c>
      <c r="L73">
        <v>2.2220174729753E-2</v>
      </c>
    </row>
    <row r="74" spans="1:12" hidden="1" x14ac:dyDescent="0.2">
      <c r="A74">
        <v>19</v>
      </c>
      <c r="B74" t="s">
        <v>35</v>
      </c>
      <c r="C74">
        <v>-13.5493646955036</v>
      </c>
      <c r="D74">
        <v>0.40303377476062702</v>
      </c>
      <c r="E74">
        <v>-10.9581161383501</v>
      </c>
      <c r="F74">
        <v>1.79145672194132</v>
      </c>
      <c r="G74" t="s">
        <v>16</v>
      </c>
      <c r="H74" t="s">
        <v>17</v>
      </c>
      <c r="I74">
        <v>1.48913185149392</v>
      </c>
      <c r="J74">
        <v>0.25813238423611601</v>
      </c>
      <c r="K74">
        <v>7.4926431727474804E-2</v>
      </c>
      <c r="L74">
        <v>3.0197882608468601E-2</v>
      </c>
    </row>
    <row r="75" spans="1:12" hidden="1" x14ac:dyDescent="0.2">
      <c r="A75">
        <v>20</v>
      </c>
      <c r="B75" t="s">
        <v>35</v>
      </c>
      <c r="C75">
        <v>-12.6591080229082</v>
      </c>
      <c r="D75">
        <v>0.12360005130559699</v>
      </c>
      <c r="E75">
        <v>-10.1270569244575</v>
      </c>
      <c r="F75">
        <v>0.82659340323948405</v>
      </c>
      <c r="G75" t="s">
        <v>13</v>
      </c>
      <c r="H75" t="s">
        <v>18</v>
      </c>
      <c r="I75">
        <v>1.45112443841554</v>
      </c>
      <c r="J75">
        <v>7.9555498086866003E-2</v>
      </c>
      <c r="K75">
        <v>7.9495799241244794E-2</v>
      </c>
      <c r="L75">
        <v>9.8256848647972992E-3</v>
      </c>
    </row>
    <row r="76" spans="1:12" hidden="1" x14ac:dyDescent="0.2">
      <c r="A76">
        <v>20</v>
      </c>
      <c r="B76" t="s">
        <v>35</v>
      </c>
      <c r="C76">
        <v>-12.891624192461901</v>
      </c>
      <c r="D76">
        <v>0.28546660184082501</v>
      </c>
      <c r="E76">
        <v>-10.1270569244575</v>
      </c>
      <c r="F76">
        <v>0.82659340323948405</v>
      </c>
      <c r="G76" t="s">
        <v>13</v>
      </c>
      <c r="H76" t="s">
        <v>18</v>
      </c>
      <c r="I76">
        <v>1.59940819732779</v>
      </c>
      <c r="J76">
        <v>0.18050722647032599</v>
      </c>
      <c r="K76">
        <v>6.3003357018368705E-2</v>
      </c>
      <c r="L76">
        <v>1.7985354232597998E-2</v>
      </c>
    </row>
    <row r="77" spans="1:12" hidden="1" x14ac:dyDescent="0.2">
      <c r="A77">
        <v>22</v>
      </c>
      <c r="B77" t="s">
        <v>35</v>
      </c>
      <c r="C77">
        <v>-11.6625229207046</v>
      </c>
      <c r="D77">
        <v>4.27396087212982E-2</v>
      </c>
      <c r="E77">
        <v>-10.1270569244575</v>
      </c>
      <c r="F77">
        <v>0.82659340323948405</v>
      </c>
      <c r="G77" t="s">
        <v>13</v>
      </c>
      <c r="H77" t="s">
        <v>19</v>
      </c>
      <c r="I77">
        <v>0.76604850079400499</v>
      </c>
      <c r="J77">
        <v>3.2272664741231701E-2</v>
      </c>
      <c r="K77">
        <v>0.21535531301597</v>
      </c>
      <c r="L77">
        <v>9.2042018143552798E-3</v>
      </c>
    </row>
    <row r="78" spans="1:12" hidden="1" x14ac:dyDescent="0.2">
      <c r="A78">
        <v>22</v>
      </c>
      <c r="B78" t="s">
        <v>35</v>
      </c>
      <c r="C78">
        <v>-11.6615293674715</v>
      </c>
      <c r="D78">
        <v>4.9842048860095998E-3</v>
      </c>
      <c r="E78">
        <v>-10.1270569244575</v>
      </c>
      <c r="F78">
        <v>0.82659340323948405</v>
      </c>
      <c r="G78" t="s">
        <v>13</v>
      </c>
      <c r="H78" t="s">
        <v>19</v>
      </c>
      <c r="I78">
        <v>0.765298166724657</v>
      </c>
      <c r="J78">
        <v>3.7645985887374998E-3</v>
      </c>
      <c r="K78">
        <v>0.21556938631249001</v>
      </c>
      <c r="L78">
        <v>1.0744419885328001E-3</v>
      </c>
    </row>
    <row r="79" spans="1:12" x14ac:dyDescent="0.2">
      <c r="A79">
        <v>24</v>
      </c>
      <c r="B79" t="s">
        <v>35</v>
      </c>
      <c r="C79">
        <v>-11.009984906001</v>
      </c>
      <c r="D79">
        <v>5.6090732040355397E-2</v>
      </c>
      <c r="E79">
        <v>-10.9581161383501</v>
      </c>
      <c r="F79">
        <v>1.79145672194132</v>
      </c>
      <c r="G79" t="s">
        <v>16</v>
      </c>
      <c r="H79" t="s">
        <v>20</v>
      </c>
      <c r="I79">
        <v>-1.7377535994390001</v>
      </c>
      <c r="J79">
        <v>0.65747157023663805</v>
      </c>
      <c r="K79">
        <v>0.94945345767516998</v>
      </c>
      <c r="L79">
        <v>5.3255539479246897E-2</v>
      </c>
    </row>
    <row r="80" spans="1:12" x14ac:dyDescent="0.2">
      <c r="A80">
        <v>24</v>
      </c>
      <c r="B80" t="s">
        <v>35</v>
      </c>
      <c r="C80">
        <v>-11.012706522962899</v>
      </c>
      <c r="D80">
        <v>5.1815802020577603E-2</v>
      </c>
      <c r="E80">
        <v>-10.9581161383501</v>
      </c>
      <c r="F80">
        <v>1.79145672194132</v>
      </c>
      <c r="G80" t="s">
        <v>16</v>
      </c>
      <c r="H80" t="s">
        <v>20</v>
      </c>
      <c r="I80">
        <v>-1.7066399561536001</v>
      </c>
      <c r="J80">
        <v>0.57786131203419899</v>
      </c>
      <c r="K80">
        <v>0.946872922247607</v>
      </c>
      <c r="L80">
        <v>4.9062979877827803E-2</v>
      </c>
    </row>
    <row r="81" spans="1:35" hidden="1" x14ac:dyDescent="0.2">
      <c r="A81">
        <v>27</v>
      </c>
      <c r="B81" t="s">
        <v>35</v>
      </c>
      <c r="C81">
        <v>-13.1552272116166</v>
      </c>
      <c r="D81">
        <v>9.08056933230275E-2</v>
      </c>
      <c r="E81">
        <v>-10.1270569244575</v>
      </c>
      <c r="F81">
        <v>0.82659340323948405</v>
      </c>
      <c r="G81" t="s">
        <v>13</v>
      </c>
      <c r="H81" t="s">
        <v>21</v>
      </c>
      <c r="I81">
        <v>1.76474927844706</v>
      </c>
      <c r="J81">
        <v>5.6537662605555199E-2</v>
      </c>
      <c r="K81">
        <v>4.8404122795641602E-2</v>
      </c>
      <c r="L81">
        <v>4.3953699301511901E-3</v>
      </c>
      <c r="AH81">
        <v>1.76474927844706</v>
      </c>
      <c r="AI81">
        <v>3</v>
      </c>
    </row>
    <row r="82" spans="1:35" hidden="1" x14ac:dyDescent="0.2">
      <c r="A82">
        <v>27</v>
      </c>
      <c r="B82" t="s">
        <v>35</v>
      </c>
      <c r="C82">
        <v>-13.198061105171799</v>
      </c>
      <c r="D82">
        <v>0.160045760852013</v>
      </c>
      <c r="E82">
        <v>-10.1270569244575</v>
      </c>
      <c r="F82">
        <v>0.82659340323948405</v>
      </c>
      <c r="G82" t="s">
        <v>13</v>
      </c>
      <c r="H82" t="s">
        <v>21</v>
      </c>
      <c r="I82">
        <v>1.79139001953757</v>
      </c>
      <c r="J82">
        <v>9.9436005892649407E-2</v>
      </c>
      <c r="K82">
        <v>4.63745630262112E-2</v>
      </c>
      <c r="L82">
        <v>7.42205222370961E-3</v>
      </c>
      <c r="AH82">
        <v>1.79139001953757</v>
      </c>
      <c r="AI82">
        <v>3</v>
      </c>
    </row>
    <row r="83" spans="1:35" hidden="1" x14ac:dyDescent="0.2">
      <c r="A83">
        <v>29</v>
      </c>
      <c r="B83" t="s">
        <v>35</v>
      </c>
      <c r="C83">
        <v>-16.729825324215899</v>
      </c>
      <c r="D83">
        <v>3.0712188643490701</v>
      </c>
      <c r="E83">
        <v>-10.9581161383501</v>
      </c>
      <c r="F83">
        <v>1.79145672194132</v>
      </c>
      <c r="G83" t="s">
        <v>16</v>
      </c>
      <c r="H83" t="s">
        <v>33</v>
      </c>
      <c r="I83">
        <v>3.4178026945178099</v>
      </c>
      <c r="J83">
        <v>1.82533583476464</v>
      </c>
      <c r="K83">
        <v>3.1144298230213101E-3</v>
      </c>
      <c r="L83">
        <v>9.5650956241544096E-3</v>
      </c>
      <c r="AH83">
        <v>2.0551139627886901</v>
      </c>
    </row>
    <row r="84" spans="1:35" hidden="1" x14ac:dyDescent="0.2">
      <c r="A84">
        <v>37</v>
      </c>
      <c r="B84" t="s">
        <v>35</v>
      </c>
      <c r="C84">
        <v>-16.155820224002198</v>
      </c>
      <c r="D84">
        <v>2.0868008388412602</v>
      </c>
      <c r="E84">
        <v>-10.9581161383501</v>
      </c>
      <c r="F84">
        <v>1.79145672194132</v>
      </c>
      <c r="G84" t="s">
        <v>16</v>
      </c>
      <c r="H84" t="s">
        <v>24</v>
      </c>
      <c r="I84">
        <v>3.07627635923614</v>
      </c>
      <c r="J84">
        <v>1.2432724474438499</v>
      </c>
      <c r="K84">
        <v>5.5292445308191499E-3</v>
      </c>
      <c r="L84">
        <v>1.15384321250719E-2</v>
      </c>
      <c r="AH84">
        <v>2.1231776840446499</v>
      </c>
    </row>
    <row r="85" spans="1:35" hidden="1" x14ac:dyDescent="0.2">
      <c r="A85">
        <v>39</v>
      </c>
      <c r="B85" t="s">
        <v>35</v>
      </c>
      <c r="C85">
        <v>-15.0909882939974</v>
      </c>
      <c r="D85">
        <v>0.64885532728488904</v>
      </c>
      <c r="E85">
        <v>-10.9581161383501</v>
      </c>
      <c r="F85">
        <v>1.79145672194132</v>
      </c>
      <c r="G85" t="s">
        <v>16</v>
      </c>
      <c r="H85" t="s">
        <v>25</v>
      </c>
      <c r="I85">
        <v>2.4390860054455601</v>
      </c>
      <c r="J85">
        <v>0.39070261715530702</v>
      </c>
      <c r="K85">
        <v>1.6036752563960099E-2</v>
      </c>
      <c r="L85">
        <v>1.04055323334751E-2</v>
      </c>
      <c r="AH85">
        <v>1.62719891215882</v>
      </c>
    </row>
    <row r="86" spans="1:35" hidden="1" x14ac:dyDescent="0.2">
      <c r="A86">
        <v>41</v>
      </c>
      <c r="B86" t="s">
        <v>35</v>
      </c>
      <c r="C86">
        <v>-16.0658904806841</v>
      </c>
      <c r="D86">
        <v>0.76720167228159397</v>
      </c>
      <c r="E86">
        <v>-10.9581161383501</v>
      </c>
      <c r="F86">
        <v>1.79145672194132</v>
      </c>
      <c r="G86" t="s">
        <v>16</v>
      </c>
      <c r="H86" t="s">
        <v>26</v>
      </c>
      <c r="I86">
        <v>3.0226842821601601</v>
      </c>
      <c r="J86">
        <v>0.45732202853152798</v>
      </c>
      <c r="K86">
        <v>6.0495321389540703E-3</v>
      </c>
      <c r="L86">
        <v>4.6412111735268102E-3</v>
      </c>
      <c r="AH86">
        <v>1.63155246610889</v>
      </c>
    </row>
    <row r="87" spans="1:35" hidden="1" x14ac:dyDescent="0.2">
      <c r="A87">
        <v>41</v>
      </c>
      <c r="B87" t="s">
        <v>35</v>
      </c>
      <c r="C87">
        <v>-15.3305979783431</v>
      </c>
      <c r="D87">
        <v>1.19408045669731</v>
      </c>
      <c r="E87">
        <v>-10.9581161383501</v>
      </c>
      <c r="F87">
        <v>1.79145672194132</v>
      </c>
      <c r="G87" t="s">
        <v>16</v>
      </c>
      <c r="H87" t="s">
        <v>26</v>
      </c>
      <c r="I87">
        <v>2.5831050127237698</v>
      </c>
      <c r="J87">
        <v>0.71651705946852295</v>
      </c>
      <c r="K87">
        <v>1.26198811438368E-2</v>
      </c>
      <c r="L87">
        <v>1.50691534396985E-2</v>
      </c>
    </row>
    <row r="88" spans="1:35" hidden="1" x14ac:dyDescent="0.2">
      <c r="A88">
        <v>44</v>
      </c>
      <c r="B88" t="s">
        <v>35</v>
      </c>
      <c r="C88">
        <v>-15.659410290007701</v>
      </c>
      <c r="D88">
        <v>3.3157814527976099</v>
      </c>
      <c r="E88">
        <v>-10.9581161383501</v>
      </c>
      <c r="F88">
        <v>1.79145672194132</v>
      </c>
      <c r="G88" t="s">
        <v>16</v>
      </c>
      <c r="H88" t="s">
        <v>27</v>
      </c>
      <c r="I88">
        <v>2.7800395916022098</v>
      </c>
      <c r="J88">
        <v>1.9825592117717401</v>
      </c>
      <c r="K88">
        <v>9.0835140469890108E-3</v>
      </c>
      <c r="L88">
        <v>3.0118947403232801E-2</v>
      </c>
    </row>
    <row r="89" spans="1:35" hidden="1" x14ac:dyDescent="0.2">
      <c r="A89">
        <v>45</v>
      </c>
      <c r="B89" t="s">
        <v>35</v>
      </c>
      <c r="C89">
        <v>-14.645598757258</v>
      </c>
      <c r="D89">
        <v>1.6094793104924401</v>
      </c>
      <c r="E89">
        <v>-10.9581161383501</v>
      </c>
      <c r="F89">
        <v>1.79145672194132</v>
      </c>
      <c r="G89" t="s">
        <v>16</v>
      </c>
      <c r="H89" t="s">
        <v>28</v>
      </c>
      <c r="I89">
        <v>2.1697562980240699</v>
      </c>
      <c r="J89">
        <v>0.97807840776116095</v>
      </c>
      <c r="K89">
        <v>2.5034945280868401E-2</v>
      </c>
      <c r="L89">
        <v>4.0293226468868203E-2</v>
      </c>
    </row>
    <row r="90" spans="1:35" hidden="1" x14ac:dyDescent="0.2">
      <c r="A90">
        <v>61</v>
      </c>
      <c r="B90" t="s">
        <v>35</v>
      </c>
      <c r="C90">
        <v>-11.5452369368699</v>
      </c>
      <c r="D90">
        <v>3.6673151521302197E-2</v>
      </c>
      <c r="E90">
        <v>-10.1270569244575</v>
      </c>
      <c r="F90">
        <v>0.82659340323948405</v>
      </c>
      <c r="G90" t="s">
        <v>13</v>
      </c>
      <c r="H90" t="s">
        <v>29</v>
      </c>
      <c r="I90">
        <v>0.67596874028589005</v>
      </c>
      <c r="J90">
        <v>2.8671128316692201E-2</v>
      </c>
      <c r="K90">
        <v>0.24215433397178601</v>
      </c>
      <c r="L90">
        <v>8.8805625812873393E-3</v>
      </c>
    </row>
    <row r="91" spans="1:35" hidden="1" x14ac:dyDescent="0.2">
      <c r="A91">
        <v>61</v>
      </c>
      <c r="B91" t="s">
        <v>35</v>
      </c>
      <c r="C91">
        <v>-11.5625080848608</v>
      </c>
      <c r="D91">
        <v>3.2640518977486301E-2</v>
      </c>
      <c r="E91">
        <v>-10.1270569244575</v>
      </c>
      <c r="F91">
        <v>0.82659340323948405</v>
      </c>
      <c r="G91" t="s">
        <v>13</v>
      </c>
      <c r="H91" t="s">
        <v>29</v>
      </c>
      <c r="I91">
        <v>0.68943444157307499</v>
      </c>
      <c r="J91">
        <v>2.53795515311965E-2</v>
      </c>
      <c r="K91">
        <v>0.23800796002105701</v>
      </c>
      <c r="L91">
        <v>7.7687033358601098E-3</v>
      </c>
    </row>
    <row r="92" spans="1:35" hidden="1" x14ac:dyDescent="0.2">
      <c r="A92">
        <v>62</v>
      </c>
      <c r="B92" t="s">
        <v>35</v>
      </c>
      <c r="C92">
        <v>-12.337639519920801</v>
      </c>
      <c r="D92">
        <v>0.100631508496036</v>
      </c>
      <c r="E92">
        <v>-10.1270569244575</v>
      </c>
      <c r="F92">
        <v>0.82659340323948405</v>
      </c>
      <c r="G92" t="s">
        <v>13</v>
      </c>
      <c r="H92" t="s">
        <v>30</v>
      </c>
      <c r="I92">
        <v>1.24093415270157</v>
      </c>
      <c r="J92">
        <v>6.6964415540080702E-2</v>
      </c>
      <c r="K92">
        <v>0.109636756028908</v>
      </c>
      <c r="L92">
        <v>1.1032912145801E-2</v>
      </c>
    </row>
    <row r="93" spans="1:35" hidden="1" x14ac:dyDescent="0.2">
      <c r="A93">
        <v>62</v>
      </c>
      <c r="B93" t="s">
        <v>35</v>
      </c>
      <c r="C93">
        <v>-12.428371699741099</v>
      </c>
      <c r="D93">
        <v>5.6836504726432598E-2</v>
      </c>
      <c r="E93">
        <v>-10.1270569244575</v>
      </c>
      <c r="F93">
        <v>0.82659340323948405</v>
      </c>
      <c r="G93" t="s">
        <v>13</v>
      </c>
      <c r="H93" t="s">
        <v>30</v>
      </c>
      <c r="I93">
        <v>1.3009861629142201</v>
      </c>
      <c r="J93">
        <v>3.7421700455881099E-2</v>
      </c>
      <c r="K93">
        <v>0.100127112490574</v>
      </c>
      <c r="L93">
        <v>5.6908751023145802E-3</v>
      </c>
    </row>
    <row r="94" spans="1:35" hidden="1" x14ac:dyDescent="0.2">
      <c r="A94">
        <v>64</v>
      </c>
      <c r="B94" t="s">
        <v>35</v>
      </c>
      <c r="C94">
        <v>-12.827986085343101</v>
      </c>
      <c r="D94">
        <v>0.124477206408052</v>
      </c>
      <c r="E94">
        <v>-10.9581161383501</v>
      </c>
      <c r="F94">
        <v>1.79145672194132</v>
      </c>
      <c r="G94" t="s">
        <v>16</v>
      </c>
      <c r="H94" t="s">
        <v>31</v>
      </c>
      <c r="I94">
        <v>1.0086843841261499</v>
      </c>
      <c r="J94">
        <v>8.71907817217666E-2</v>
      </c>
      <c r="K94">
        <v>0.15414370736426999</v>
      </c>
      <c r="L94">
        <v>1.9187378078084599E-2</v>
      </c>
    </row>
    <row r="95" spans="1:35" hidden="1" x14ac:dyDescent="0.2">
      <c r="A95">
        <v>64</v>
      </c>
      <c r="B95" t="s">
        <v>35</v>
      </c>
      <c r="C95">
        <v>-12.8007197272032</v>
      </c>
      <c r="D95">
        <v>3.4993582311051701E-2</v>
      </c>
      <c r="E95">
        <v>-10.9581161383501</v>
      </c>
      <c r="F95">
        <v>1.79145672194132</v>
      </c>
      <c r="G95" t="s">
        <v>16</v>
      </c>
      <c r="H95" t="s">
        <v>31</v>
      </c>
      <c r="I95">
        <v>0.98953746026354195</v>
      </c>
      <c r="J95">
        <v>2.46355524517844E-2</v>
      </c>
      <c r="K95">
        <v>0.15840446864563301</v>
      </c>
      <c r="L95">
        <v>5.5431398119893897E-3</v>
      </c>
    </row>
    <row r="96" spans="1:35" hidden="1" x14ac:dyDescent="0.2">
      <c r="A96">
        <v>2</v>
      </c>
      <c r="B96" t="s">
        <v>36</v>
      </c>
      <c r="C96">
        <v>-11.737642372637101</v>
      </c>
      <c r="D96">
        <v>2.8921721788181198E-2</v>
      </c>
      <c r="E96">
        <v>-10.1270569244575</v>
      </c>
      <c r="F96">
        <v>0.82659340323948405</v>
      </c>
      <c r="G96" t="s">
        <v>13</v>
      </c>
      <c r="H96" t="s">
        <v>14</v>
      </c>
      <c r="I96">
        <v>0.82220829507227</v>
      </c>
      <c r="J96">
        <v>2.1413466442999001E-2</v>
      </c>
      <c r="K96">
        <v>0.19977062448437</v>
      </c>
      <c r="L96">
        <v>5.7777104227881796E-3</v>
      </c>
    </row>
    <row r="97" spans="1:35" hidden="1" x14ac:dyDescent="0.2">
      <c r="A97">
        <v>2</v>
      </c>
      <c r="B97" t="s">
        <v>36</v>
      </c>
      <c r="C97">
        <v>-11.857744127761899</v>
      </c>
      <c r="D97">
        <v>1.99134043728755E-2</v>
      </c>
      <c r="E97">
        <v>-10.1270569244575</v>
      </c>
      <c r="F97">
        <v>0.82659340323948405</v>
      </c>
      <c r="G97" t="s">
        <v>13</v>
      </c>
      <c r="H97" t="s">
        <v>14</v>
      </c>
      <c r="I97">
        <v>0.90987351436764996</v>
      </c>
      <c r="J97">
        <v>1.43386684844221E-2</v>
      </c>
      <c r="K97">
        <v>0.17716262138907399</v>
      </c>
      <c r="L97">
        <v>3.52791091947928E-3</v>
      </c>
    </row>
    <row r="98" spans="1:35" hidden="1" x14ac:dyDescent="0.2">
      <c r="A98">
        <v>3</v>
      </c>
      <c r="B98" t="s">
        <v>36</v>
      </c>
      <c r="C98">
        <v>-11.8002954441905</v>
      </c>
      <c r="D98">
        <v>5.5953802206141698E-2</v>
      </c>
      <c r="E98">
        <v>-10.1270569244575</v>
      </c>
      <c r="F98">
        <v>0.82659340323948405</v>
      </c>
      <c r="G98" t="s">
        <v>13</v>
      </c>
      <c r="H98" t="s">
        <v>15</v>
      </c>
      <c r="I98">
        <v>0.86824450282796295</v>
      </c>
      <c r="J98">
        <v>4.0809149633174703E-2</v>
      </c>
      <c r="K98">
        <v>0.187638409905757</v>
      </c>
      <c r="L98">
        <v>1.0499082474141601E-2</v>
      </c>
    </row>
    <row r="99" spans="1:35" hidden="1" x14ac:dyDescent="0.2">
      <c r="A99">
        <v>3</v>
      </c>
      <c r="B99" t="s">
        <v>36</v>
      </c>
      <c r="C99">
        <v>-11.9135941211558</v>
      </c>
      <c r="D99">
        <v>1.20133859248726E-2</v>
      </c>
      <c r="E99">
        <v>-10.1270569244575</v>
      </c>
      <c r="F99">
        <v>0.82659340323948405</v>
      </c>
      <c r="G99" t="s">
        <v>13</v>
      </c>
      <c r="H99" t="s">
        <v>15</v>
      </c>
      <c r="I99">
        <v>0.94985285542786801</v>
      </c>
      <c r="J99">
        <v>8.5502541371780504E-3</v>
      </c>
      <c r="K99">
        <v>0.16753932206050801</v>
      </c>
      <c r="L99">
        <v>2.01271453350441E-3</v>
      </c>
    </row>
    <row r="100" spans="1:35" hidden="1" x14ac:dyDescent="0.2">
      <c r="A100">
        <v>19</v>
      </c>
      <c r="B100" t="s">
        <v>36</v>
      </c>
      <c r="C100">
        <v>-13.8639862457542</v>
      </c>
      <c r="D100">
        <v>0.28717187761135698</v>
      </c>
      <c r="E100">
        <v>-10.9581161383501</v>
      </c>
      <c r="F100">
        <v>1.79145672194132</v>
      </c>
      <c r="G100" t="s">
        <v>16</v>
      </c>
      <c r="H100" t="s">
        <v>17</v>
      </c>
      <c r="I100">
        <v>1.6883545473914201</v>
      </c>
      <c r="J100">
        <v>0.179990719108721</v>
      </c>
      <c r="K100">
        <v>5.4701173992209098E-2</v>
      </c>
      <c r="L100">
        <v>1.5708638842888201E-2</v>
      </c>
    </row>
    <row r="101" spans="1:35" hidden="1" x14ac:dyDescent="0.2">
      <c r="A101">
        <v>19</v>
      </c>
      <c r="B101" t="s">
        <v>36</v>
      </c>
      <c r="C101">
        <v>-14.052683281950101</v>
      </c>
      <c r="D101">
        <v>0.78623146098233498</v>
      </c>
      <c r="E101">
        <v>-10.9581161383501</v>
      </c>
      <c r="F101">
        <v>1.79145672194132</v>
      </c>
      <c r="G101" t="s">
        <v>16</v>
      </c>
      <c r="H101" t="s">
        <v>17</v>
      </c>
      <c r="I101">
        <v>1.80602131006476</v>
      </c>
      <c r="J101">
        <v>0.48793095188500701</v>
      </c>
      <c r="K101">
        <v>4.529461428124E-2</v>
      </c>
      <c r="L101">
        <v>3.5612050760970598E-2</v>
      </c>
    </row>
    <row r="102" spans="1:35" hidden="1" x14ac:dyDescent="0.2">
      <c r="A102">
        <v>20</v>
      </c>
      <c r="B102" t="s">
        <v>36</v>
      </c>
      <c r="C102">
        <v>-13.12552614288</v>
      </c>
      <c r="D102">
        <v>0.241356159504653</v>
      </c>
      <c r="E102">
        <v>-10.1270569244575</v>
      </c>
      <c r="F102">
        <v>0.82659340323948405</v>
      </c>
      <c r="G102" t="s">
        <v>13</v>
      </c>
      <c r="H102" t="s">
        <v>18</v>
      </c>
      <c r="I102">
        <v>1.74624260362781</v>
      </c>
      <c r="J102">
        <v>0.15050455163552701</v>
      </c>
      <c r="K102">
        <v>4.9863339857517099E-2</v>
      </c>
      <c r="L102">
        <v>1.20348242080856E-2</v>
      </c>
    </row>
    <row r="103" spans="1:35" hidden="1" x14ac:dyDescent="0.2">
      <c r="A103">
        <v>20</v>
      </c>
      <c r="B103" t="s">
        <v>36</v>
      </c>
      <c r="C103">
        <v>-13.197463178909</v>
      </c>
      <c r="D103">
        <v>7.0847257667769795E-2</v>
      </c>
      <c r="E103">
        <v>-10.1270569244575</v>
      </c>
      <c r="F103">
        <v>0.82659340323948405</v>
      </c>
      <c r="G103" t="s">
        <v>13</v>
      </c>
      <c r="H103" t="s">
        <v>18</v>
      </c>
      <c r="I103">
        <v>1.7910185241374299</v>
      </c>
      <c r="J103">
        <v>4.4018493219588797E-2</v>
      </c>
      <c r="K103">
        <v>4.6402299886840699E-2</v>
      </c>
      <c r="L103">
        <v>3.2874756964601298E-3</v>
      </c>
    </row>
    <row r="104" spans="1:35" hidden="1" x14ac:dyDescent="0.2">
      <c r="A104">
        <v>22</v>
      </c>
      <c r="B104" t="s">
        <v>36</v>
      </c>
      <c r="C104">
        <v>-11.7742640596461</v>
      </c>
      <c r="D104">
        <v>4.2645558133436297E-2</v>
      </c>
      <c r="E104">
        <v>-10.1270569244575</v>
      </c>
      <c r="F104">
        <v>0.82659340323948405</v>
      </c>
      <c r="G104" t="s">
        <v>13</v>
      </c>
      <c r="H104" t="s">
        <v>19</v>
      </c>
      <c r="I104">
        <v>0.849201053846668</v>
      </c>
      <c r="J104">
        <v>3.1293591055292003E-2</v>
      </c>
      <c r="K104">
        <v>0.192587027753992</v>
      </c>
      <c r="L104">
        <v>8.2129812878286093E-3</v>
      </c>
    </row>
    <row r="105" spans="1:35" hidden="1" x14ac:dyDescent="0.2">
      <c r="A105">
        <v>22</v>
      </c>
      <c r="B105" t="s">
        <v>36</v>
      </c>
      <c r="C105">
        <v>-11.8882838891384</v>
      </c>
      <c r="D105">
        <v>5.4762858554217198E-2</v>
      </c>
      <c r="E105">
        <v>-10.1270569244575</v>
      </c>
      <c r="F105">
        <v>0.82659340323948405</v>
      </c>
      <c r="G105" t="s">
        <v>13</v>
      </c>
      <c r="H105" t="s">
        <v>19</v>
      </c>
      <c r="I105">
        <v>0.93179244403882899</v>
      </c>
      <c r="J105">
        <v>3.9178335732951597E-2</v>
      </c>
      <c r="K105">
        <v>0.171833900300467</v>
      </c>
      <c r="L105">
        <v>9.4101155769739792E-3</v>
      </c>
    </row>
    <row r="106" spans="1:35" x14ac:dyDescent="0.2">
      <c r="A106">
        <v>24</v>
      </c>
      <c r="B106" t="s">
        <v>36</v>
      </c>
      <c r="C106">
        <v>-11.1450348977634</v>
      </c>
      <c r="D106">
        <v>3.55406698125409E-2</v>
      </c>
      <c r="E106">
        <v>-10.9581161383501</v>
      </c>
      <c r="F106">
        <v>1.79145672194132</v>
      </c>
      <c r="G106" t="s">
        <v>16</v>
      </c>
      <c r="H106" t="s">
        <v>20</v>
      </c>
      <c r="I106">
        <v>-0.93740981912828802</v>
      </c>
      <c r="J106">
        <v>0.12351135401673401</v>
      </c>
      <c r="K106">
        <v>0.82951112361845003</v>
      </c>
      <c r="L106">
        <v>2.94813809503531E-2</v>
      </c>
    </row>
    <row r="107" spans="1:35" x14ac:dyDescent="0.2">
      <c r="A107">
        <v>24</v>
      </c>
      <c r="B107" t="s">
        <v>36</v>
      </c>
      <c r="C107">
        <v>-11.212542893000499</v>
      </c>
      <c r="D107">
        <v>2.0003808935817199E-2</v>
      </c>
      <c r="E107">
        <v>-10.9581161383501</v>
      </c>
      <c r="F107">
        <v>1.79145672194132</v>
      </c>
      <c r="G107" t="s">
        <v>16</v>
      </c>
      <c r="H107" t="s">
        <v>20</v>
      </c>
      <c r="I107">
        <v>-0.733989999149115</v>
      </c>
      <c r="J107">
        <v>5.2759972339238001E-2</v>
      </c>
      <c r="K107">
        <v>0.77536084258696603</v>
      </c>
      <c r="L107">
        <v>1.55101701514239E-2</v>
      </c>
    </row>
    <row r="108" spans="1:35" hidden="1" x14ac:dyDescent="0.2">
      <c r="A108">
        <v>27</v>
      </c>
      <c r="B108" t="s">
        <v>36</v>
      </c>
      <c r="C108">
        <v>-13.6263757392448</v>
      </c>
      <c r="D108">
        <v>7.5333379180538299E-2</v>
      </c>
      <c r="E108">
        <v>-10.1270569244575</v>
      </c>
      <c r="F108">
        <v>0.82659340323948405</v>
      </c>
      <c r="G108" t="s">
        <v>13</v>
      </c>
      <c r="H108" t="s">
        <v>21</v>
      </c>
      <c r="I108">
        <v>2.0551139627886901</v>
      </c>
      <c r="J108">
        <v>4.6024664878145001E-2</v>
      </c>
      <c r="K108">
        <v>3.0217960440952301E-2</v>
      </c>
      <c r="L108">
        <v>2.2764210719607701E-3</v>
      </c>
      <c r="AH108">
        <v>2.0551139627886901</v>
      </c>
      <c r="AI108">
        <v>4</v>
      </c>
    </row>
    <row r="109" spans="1:35" hidden="1" x14ac:dyDescent="0.2">
      <c r="A109">
        <v>27</v>
      </c>
      <c r="B109" t="s">
        <v>36</v>
      </c>
      <c r="C109">
        <v>-13.737969329188299</v>
      </c>
      <c r="D109">
        <v>2.25666936628659E-2</v>
      </c>
      <c r="E109">
        <v>-10.1270569244575</v>
      </c>
      <c r="F109">
        <v>0.82659340323948405</v>
      </c>
      <c r="G109" t="s">
        <v>13</v>
      </c>
      <c r="H109" t="s">
        <v>21</v>
      </c>
      <c r="I109">
        <v>2.1231776840446499</v>
      </c>
      <c r="J109">
        <v>1.37418291947452E-2</v>
      </c>
      <c r="K109">
        <v>2.7027175889961699E-2</v>
      </c>
      <c r="L109">
        <v>6.0991399888116096E-4</v>
      </c>
      <c r="AH109">
        <v>2.1231776840446499</v>
      </c>
      <c r="AI109">
        <v>4</v>
      </c>
    </row>
    <row r="110" spans="1:35" hidden="1" x14ac:dyDescent="0.2">
      <c r="A110">
        <v>29</v>
      </c>
      <c r="B110" t="s">
        <v>36</v>
      </c>
      <c r="C110">
        <v>-15.036854416629501</v>
      </c>
      <c r="D110">
        <v>0.43961772481073902</v>
      </c>
      <c r="E110">
        <v>-10.9581161383501</v>
      </c>
      <c r="F110">
        <v>1.79145672194132</v>
      </c>
      <c r="G110" t="s">
        <v>16</v>
      </c>
      <c r="H110" t="s">
        <v>33</v>
      </c>
      <c r="I110">
        <v>2.4064751085562199</v>
      </c>
      <c r="J110">
        <v>0.264952211660686</v>
      </c>
      <c r="K110">
        <v>1.6928811632871799E-2</v>
      </c>
      <c r="L110">
        <v>7.4422056537926801E-3</v>
      </c>
    </row>
    <row r="111" spans="1:35" hidden="1" x14ac:dyDescent="0.2">
      <c r="A111">
        <v>29</v>
      </c>
      <c r="B111" t="s">
        <v>36</v>
      </c>
      <c r="C111">
        <v>-15.042617739029</v>
      </c>
      <c r="D111">
        <v>0.30202597520068297</v>
      </c>
      <c r="E111">
        <v>-10.9581161383501</v>
      </c>
      <c r="F111">
        <v>1.79145672194132</v>
      </c>
      <c r="G111" t="s">
        <v>16</v>
      </c>
      <c r="H111" t="s">
        <v>33</v>
      </c>
      <c r="I111">
        <v>2.4099484202668999</v>
      </c>
      <c r="J111">
        <v>0.18200933967048299</v>
      </c>
      <c r="K111">
        <v>1.6831526046974198E-2</v>
      </c>
      <c r="L111">
        <v>5.0835580684531001E-3</v>
      </c>
    </row>
    <row r="112" spans="1:35" hidden="1" x14ac:dyDescent="0.2">
      <c r="A112">
        <v>35</v>
      </c>
      <c r="B112" t="s">
        <v>36</v>
      </c>
      <c r="C112">
        <v>-12.5781254358635</v>
      </c>
      <c r="D112">
        <v>3.0004335130635499E-2</v>
      </c>
      <c r="E112">
        <v>-10.1270569244575</v>
      </c>
      <c r="F112">
        <v>0.82659340323948405</v>
      </c>
      <c r="G112" t="s">
        <v>13</v>
      </c>
      <c r="H112" t="s">
        <v>23</v>
      </c>
      <c r="I112">
        <v>1.3988115799069101</v>
      </c>
      <c r="J112">
        <v>1.9454087121488502E-2</v>
      </c>
      <c r="K112">
        <v>8.62014300617958E-2</v>
      </c>
      <c r="L112">
        <v>2.5864165963141602E-3</v>
      </c>
    </row>
    <row r="113" spans="1:12" hidden="1" x14ac:dyDescent="0.2">
      <c r="A113">
        <v>35</v>
      </c>
      <c r="B113" t="s">
        <v>36</v>
      </c>
      <c r="C113">
        <v>-12.630711710624199</v>
      </c>
      <c r="D113">
        <v>4.3492761681731502E-2</v>
      </c>
      <c r="E113">
        <v>-10.1270569244575</v>
      </c>
      <c r="F113">
        <v>0.82659340323948405</v>
      </c>
      <c r="G113" t="s">
        <v>13</v>
      </c>
      <c r="H113" t="s">
        <v>23</v>
      </c>
      <c r="I113">
        <v>1.4328244150518199</v>
      </c>
      <c r="J113">
        <v>2.8064039422628299E-2</v>
      </c>
      <c r="K113">
        <v>8.1785543062782004E-2</v>
      </c>
      <c r="L113">
        <v>3.5570791334405601E-3</v>
      </c>
    </row>
    <row r="114" spans="1:12" hidden="1" x14ac:dyDescent="0.2">
      <c r="A114">
        <v>37</v>
      </c>
      <c r="B114" t="s">
        <v>36</v>
      </c>
      <c r="C114">
        <v>-15.7450837909652</v>
      </c>
      <c r="D114">
        <v>0.40241121032972499</v>
      </c>
      <c r="E114">
        <v>-10.9581161383501</v>
      </c>
      <c r="F114">
        <v>1.79145672194132</v>
      </c>
      <c r="G114" t="s">
        <v>16</v>
      </c>
      <c r="H114" t="s">
        <v>24</v>
      </c>
      <c r="I114">
        <v>2.8312456168918998</v>
      </c>
      <c r="J114">
        <v>0.24042719600445001</v>
      </c>
      <c r="K114">
        <v>8.3377018960522093E-3</v>
      </c>
      <c r="L114">
        <v>3.3551847113588102E-3</v>
      </c>
    </row>
    <row r="115" spans="1:12" hidden="1" x14ac:dyDescent="0.2">
      <c r="A115">
        <v>37</v>
      </c>
      <c r="B115" t="s">
        <v>36</v>
      </c>
      <c r="C115">
        <v>-15.885602493158601</v>
      </c>
      <c r="D115">
        <v>1.19369731925022</v>
      </c>
      <c r="E115">
        <v>-10.9581161383501</v>
      </c>
      <c r="F115">
        <v>1.79145672194132</v>
      </c>
      <c r="G115" t="s">
        <v>16</v>
      </c>
      <c r="H115" t="s">
        <v>24</v>
      </c>
      <c r="I115">
        <v>2.9151535108089202</v>
      </c>
      <c r="J115">
        <v>0.71240887835574396</v>
      </c>
      <c r="K115">
        <v>7.2446909957549401E-3</v>
      </c>
      <c r="L115">
        <v>8.6479682204289206E-3</v>
      </c>
    </row>
    <row r="116" spans="1:12" hidden="1" x14ac:dyDescent="0.2">
      <c r="A116">
        <v>39</v>
      </c>
      <c r="B116" t="s">
        <v>36</v>
      </c>
      <c r="C116">
        <v>-14.944998465409199</v>
      </c>
      <c r="D116">
        <v>9.3544293759719094E-2</v>
      </c>
      <c r="E116">
        <v>-10.9581161383501</v>
      </c>
      <c r="F116">
        <v>1.79145672194132</v>
      </c>
      <c r="G116" t="s">
        <v>16</v>
      </c>
      <c r="H116" t="s">
        <v>25</v>
      </c>
      <c r="I116">
        <v>2.3510694473593601</v>
      </c>
      <c r="J116">
        <v>5.6471555964729199E-2</v>
      </c>
      <c r="K116">
        <v>1.8557480178995101E-2</v>
      </c>
      <c r="L116">
        <v>1.7359463773040801E-3</v>
      </c>
    </row>
    <row r="117" spans="1:12" hidden="1" x14ac:dyDescent="0.2">
      <c r="A117">
        <v>39</v>
      </c>
      <c r="B117" t="s">
        <v>36</v>
      </c>
      <c r="C117">
        <v>-14.9846117050133</v>
      </c>
      <c r="D117">
        <v>0.42244990842107699</v>
      </c>
      <c r="E117">
        <v>-10.9581161383501</v>
      </c>
      <c r="F117">
        <v>1.79145672194132</v>
      </c>
      <c r="G117" t="s">
        <v>16</v>
      </c>
      <c r="H117" t="s">
        <v>25</v>
      </c>
      <c r="I117">
        <v>2.3749746451879301</v>
      </c>
      <c r="J117">
        <v>0.254840737715118</v>
      </c>
      <c r="K117">
        <v>1.7836728179440198E-2</v>
      </c>
      <c r="L117">
        <v>7.5351241859361604E-3</v>
      </c>
    </row>
    <row r="118" spans="1:12" hidden="1" x14ac:dyDescent="0.2">
      <c r="A118">
        <v>41</v>
      </c>
      <c r="B118" t="s">
        <v>36</v>
      </c>
      <c r="C118">
        <v>-14.775154167116799</v>
      </c>
      <c r="D118">
        <v>0.49228545554854303</v>
      </c>
      <c r="E118">
        <v>-10.9581161383501</v>
      </c>
      <c r="F118">
        <v>1.79145672194132</v>
      </c>
      <c r="G118" t="s">
        <v>16</v>
      </c>
      <c r="H118" t="s">
        <v>26</v>
      </c>
      <c r="I118">
        <v>2.2483617295795302</v>
      </c>
      <c r="J118">
        <v>0.298230664662894</v>
      </c>
      <c r="K118">
        <v>2.1992846694058699E-2</v>
      </c>
      <c r="L118">
        <v>1.08267585535939E-2</v>
      </c>
    </row>
    <row r="119" spans="1:12" hidden="1" x14ac:dyDescent="0.2">
      <c r="A119">
        <v>41</v>
      </c>
      <c r="B119" t="s">
        <v>36</v>
      </c>
      <c r="C119">
        <v>-14.774057469264401</v>
      </c>
      <c r="D119">
        <v>0.47902027458964502</v>
      </c>
      <c r="E119">
        <v>-10.9581161383501</v>
      </c>
      <c r="F119">
        <v>1.79145672194132</v>
      </c>
      <c r="G119" t="s">
        <v>16</v>
      </c>
      <c r="H119" t="s">
        <v>26</v>
      </c>
      <c r="I119">
        <v>2.2476973326114802</v>
      </c>
      <c r="J119">
        <v>0.29020166744555598</v>
      </c>
      <c r="K119">
        <v>2.20169794325396E-2</v>
      </c>
      <c r="L119">
        <v>1.05465795334097E-2</v>
      </c>
    </row>
    <row r="120" spans="1:12" hidden="1" x14ac:dyDescent="0.2">
      <c r="A120">
        <v>44</v>
      </c>
      <c r="B120" t="s">
        <v>36</v>
      </c>
      <c r="C120">
        <v>-14.8024545327622</v>
      </c>
      <c r="D120">
        <v>1.7061219840305</v>
      </c>
      <c r="E120">
        <v>-10.9581161383501</v>
      </c>
      <c r="F120">
        <v>1.79145672194132</v>
      </c>
      <c r="G120" t="s">
        <v>16</v>
      </c>
      <c r="H120" t="s">
        <v>27</v>
      </c>
      <c r="I120">
        <v>2.2648954916561799</v>
      </c>
      <c r="J120">
        <v>1.03295746150708</v>
      </c>
      <c r="K120">
        <v>2.1400555605616801E-2</v>
      </c>
      <c r="L120">
        <v>3.6511958389210099E-2</v>
      </c>
    </row>
    <row r="121" spans="1:12" hidden="1" x14ac:dyDescent="0.2">
      <c r="A121">
        <v>44</v>
      </c>
      <c r="B121" t="s">
        <v>36</v>
      </c>
      <c r="C121">
        <v>-14.659439354040201</v>
      </c>
      <c r="D121">
        <v>0.86226974268674705</v>
      </c>
      <c r="E121">
        <v>-10.9581161383501</v>
      </c>
      <c r="F121">
        <v>1.79145672194132</v>
      </c>
      <c r="G121" t="s">
        <v>16</v>
      </c>
      <c r="H121" t="s">
        <v>27</v>
      </c>
      <c r="I121">
        <v>2.1781657226546298</v>
      </c>
      <c r="J121">
        <v>0.52381528104914599</v>
      </c>
      <c r="K121">
        <v>2.4690833546865801E-2</v>
      </c>
      <c r="L121">
        <v>2.1290158689177299E-2</v>
      </c>
    </row>
    <row r="122" spans="1:12" hidden="1" x14ac:dyDescent="0.2">
      <c r="A122">
        <v>45</v>
      </c>
      <c r="B122" t="s">
        <v>36</v>
      </c>
      <c r="C122">
        <v>-14.310997444166301</v>
      </c>
      <c r="D122">
        <v>1.2877002739113801</v>
      </c>
      <c r="E122">
        <v>-10.9581161383501</v>
      </c>
      <c r="F122">
        <v>1.79145672194132</v>
      </c>
      <c r="G122" t="s">
        <v>16</v>
      </c>
      <c r="H122" t="s">
        <v>28</v>
      </c>
      <c r="I122">
        <v>1.9654333305435701</v>
      </c>
      <c r="J122">
        <v>0.79060094987585605</v>
      </c>
      <c r="K122">
        <v>3.4983410841354499E-2</v>
      </c>
      <c r="L122">
        <v>4.50481477227666E-2</v>
      </c>
    </row>
    <row r="123" spans="1:12" hidden="1" x14ac:dyDescent="0.2">
      <c r="A123">
        <v>45</v>
      </c>
      <c r="B123" t="s">
        <v>36</v>
      </c>
      <c r="C123">
        <v>-14.5985872941071</v>
      </c>
      <c r="D123">
        <v>0.68376813121063795</v>
      </c>
      <c r="E123">
        <v>-10.9581161383501</v>
      </c>
      <c r="F123">
        <v>1.79145672194132</v>
      </c>
      <c r="G123" t="s">
        <v>16</v>
      </c>
      <c r="H123" t="s">
        <v>28</v>
      </c>
      <c r="I123">
        <v>2.14116996399909</v>
      </c>
      <c r="J123">
        <v>0.41603918589463201</v>
      </c>
      <c r="K123">
        <v>2.6239977936087799E-2</v>
      </c>
      <c r="L123">
        <v>1.79420606763671E-2</v>
      </c>
    </row>
    <row r="124" spans="1:12" hidden="1" x14ac:dyDescent="0.2">
      <c r="A124">
        <v>61</v>
      </c>
      <c r="B124" t="s">
        <v>36</v>
      </c>
      <c r="C124">
        <v>-11.381498780240401</v>
      </c>
      <c r="D124">
        <v>3.7320269509879801E-2</v>
      </c>
      <c r="E124">
        <v>-10.1270569244575</v>
      </c>
      <c r="F124">
        <v>0.82659340323948405</v>
      </c>
      <c r="G124" t="s">
        <v>13</v>
      </c>
      <c r="H124" t="s">
        <v>29</v>
      </c>
      <c r="I124">
        <v>0.54428060269415801</v>
      </c>
      <c r="J124">
        <v>3.09356196676332E-2</v>
      </c>
      <c r="K124">
        <v>0.28523500607295499</v>
      </c>
      <c r="L124">
        <v>1.0645047300294801E-2</v>
      </c>
    </row>
    <row r="125" spans="1:12" hidden="1" x14ac:dyDescent="0.2">
      <c r="A125">
        <v>61</v>
      </c>
      <c r="B125" t="s">
        <v>36</v>
      </c>
      <c r="C125">
        <v>-11.4358221932281</v>
      </c>
      <c r="D125">
        <v>1.4138155672536E-2</v>
      </c>
      <c r="E125">
        <v>-10.1270569244575</v>
      </c>
      <c r="F125">
        <v>0.82659340323948405</v>
      </c>
      <c r="G125" t="s">
        <v>13</v>
      </c>
      <c r="H125" t="s">
        <v>29</v>
      </c>
      <c r="I125">
        <v>0.58883781441554095</v>
      </c>
      <c r="J125">
        <v>1.14772674865759E-2</v>
      </c>
      <c r="K125">
        <v>0.27015341739788201</v>
      </c>
      <c r="L125">
        <v>3.8194710706388598E-3</v>
      </c>
    </row>
    <row r="126" spans="1:12" hidden="1" x14ac:dyDescent="0.2">
      <c r="A126">
        <v>62</v>
      </c>
      <c r="B126" t="s">
        <v>36</v>
      </c>
      <c r="C126">
        <v>-11.829175879344399</v>
      </c>
      <c r="D126">
        <v>4.31847750508738E-2</v>
      </c>
      <c r="E126">
        <v>-10.1270569244575</v>
      </c>
      <c r="F126">
        <v>0.82659340323948405</v>
      </c>
      <c r="G126" t="s">
        <v>13</v>
      </c>
      <c r="H126" t="s">
        <v>30</v>
      </c>
      <c r="I126">
        <v>0.889238778645003</v>
      </c>
      <c r="J126">
        <v>3.12904858299504E-2</v>
      </c>
      <c r="K126">
        <v>0.182296835738913</v>
      </c>
      <c r="L126">
        <v>7.8724478438710593E-3</v>
      </c>
    </row>
    <row r="127" spans="1:12" hidden="1" x14ac:dyDescent="0.2">
      <c r="A127">
        <v>62</v>
      </c>
      <c r="B127" t="s">
        <v>36</v>
      </c>
      <c r="C127">
        <v>-11.906805438762399</v>
      </c>
      <c r="D127">
        <v>1.6214538972283098E-2</v>
      </c>
      <c r="E127">
        <v>-10.1270569244575</v>
      </c>
      <c r="F127">
        <v>0.82659340323948405</v>
      </c>
      <c r="G127" t="s">
        <v>13</v>
      </c>
      <c r="H127" t="s">
        <v>30</v>
      </c>
      <c r="I127">
        <v>0.94501785395285898</v>
      </c>
      <c r="J127">
        <v>1.15561718833808E-2</v>
      </c>
      <c r="K127">
        <v>0.16868056268348999</v>
      </c>
      <c r="L127">
        <v>2.73507755749809E-3</v>
      </c>
    </row>
    <row r="128" spans="1:12" hidden="1" x14ac:dyDescent="0.2">
      <c r="A128">
        <v>64</v>
      </c>
      <c r="B128" t="s">
        <v>36</v>
      </c>
      <c r="C128">
        <v>-13.2120683979132</v>
      </c>
      <c r="D128">
        <v>8.0034295122194801E-2</v>
      </c>
      <c r="E128">
        <v>-10.9581161383501</v>
      </c>
      <c r="F128">
        <v>1.79145672194132</v>
      </c>
      <c r="G128" t="s">
        <v>16</v>
      </c>
      <c r="H128" t="s">
        <v>31</v>
      </c>
      <c r="I128">
        <v>1.26971844600241</v>
      </c>
      <c r="J128">
        <v>5.2981273914511101E-2</v>
      </c>
      <c r="K128">
        <v>0.104983481571921</v>
      </c>
      <c r="L128">
        <v>8.4022789470826302E-3</v>
      </c>
    </row>
    <row r="129" spans="1:35" hidden="1" x14ac:dyDescent="0.2">
      <c r="A129">
        <v>64</v>
      </c>
      <c r="B129" t="s">
        <v>36</v>
      </c>
      <c r="C129">
        <v>-13.242014344276701</v>
      </c>
      <c r="D129">
        <v>0.115658623004842</v>
      </c>
      <c r="E129">
        <v>-10.9581161383501</v>
      </c>
      <c r="F129">
        <v>1.79145672194132</v>
      </c>
      <c r="G129" t="s">
        <v>16</v>
      </c>
      <c r="H129" t="s">
        <v>31</v>
      </c>
      <c r="I129">
        <v>1.2895077358377001</v>
      </c>
      <c r="J129">
        <v>7.6299905265306195E-2</v>
      </c>
      <c r="K129">
        <v>0.101886257961759</v>
      </c>
      <c r="L129">
        <v>1.17840242989733E-2</v>
      </c>
    </row>
    <row r="130" spans="1:35" hidden="1" x14ac:dyDescent="0.2">
      <c r="A130">
        <v>2</v>
      </c>
      <c r="B130" t="s">
        <v>37</v>
      </c>
      <c r="C130">
        <v>-11.8173430964858</v>
      </c>
      <c r="D130">
        <v>9.6103579945988601E-2</v>
      </c>
      <c r="E130">
        <v>-10.1270569244575</v>
      </c>
      <c r="F130">
        <v>0.82659340323948405</v>
      </c>
      <c r="G130" t="s">
        <v>13</v>
      </c>
      <c r="H130" t="s">
        <v>14</v>
      </c>
      <c r="I130">
        <v>0.88065370014219202</v>
      </c>
      <c r="J130">
        <v>6.9819254017202806E-2</v>
      </c>
      <c r="K130">
        <v>0.184466727221373</v>
      </c>
      <c r="L130">
        <v>1.77279128668941E-2</v>
      </c>
    </row>
    <row r="131" spans="1:35" hidden="1" x14ac:dyDescent="0.2">
      <c r="A131">
        <v>2</v>
      </c>
      <c r="B131" t="s">
        <v>37</v>
      </c>
      <c r="C131">
        <v>-11.974854437057299</v>
      </c>
      <c r="D131">
        <v>5.2682786648786298E-2</v>
      </c>
      <c r="E131">
        <v>-10.1270569244575</v>
      </c>
      <c r="F131">
        <v>0.82659340323948405</v>
      </c>
      <c r="G131" t="s">
        <v>13</v>
      </c>
      <c r="H131" t="s">
        <v>14</v>
      </c>
      <c r="I131">
        <v>0.99319220998917401</v>
      </c>
      <c r="J131">
        <v>3.7052659306533099E-2</v>
      </c>
      <c r="K131">
        <v>0.157583860846298</v>
      </c>
      <c r="L131">
        <v>8.3019569202575499E-3</v>
      </c>
    </row>
    <row r="132" spans="1:35" hidden="1" x14ac:dyDescent="0.2">
      <c r="A132">
        <v>3</v>
      </c>
      <c r="B132" t="s">
        <v>37</v>
      </c>
      <c r="C132">
        <v>-11.9989524395624</v>
      </c>
      <c r="D132">
        <v>3.4052399605527001E-2</v>
      </c>
      <c r="E132">
        <v>-10.1270569244575</v>
      </c>
      <c r="F132">
        <v>0.82659340323948405</v>
      </c>
      <c r="G132" t="s">
        <v>13</v>
      </c>
      <c r="H132" t="s">
        <v>15</v>
      </c>
      <c r="I132">
        <v>1.0101029434453901</v>
      </c>
      <c r="J132">
        <v>2.38434086080682E-2</v>
      </c>
      <c r="K132">
        <v>0.15383179479268999</v>
      </c>
      <c r="L132">
        <v>5.2383417483161301E-3</v>
      </c>
    </row>
    <row r="133" spans="1:35" hidden="1" x14ac:dyDescent="0.2">
      <c r="A133">
        <v>3</v>
      </c>
      <c r="B133" t="s">
        <v>37</v>
      </c>
      <c r="C133">
        <v>-12.043424544713501</v>
      </c>
      <c r="D133">
        <v>4.5452559278705E-2</v>
      </c>
      <c r="E133">
        <v>-10.1270569244575</v>
      </c>
      <c r="F133">
        <v>0.82659340323948405</v>
      </c>
      <c r="G133" t="s">
        <v>13</v>
      </c>
      <c r="H133" t="s">
        <v>15</v>
      </c>
      <c r="I133">
        <v>1.0411188232164701</v>
      </c>
      <c r="J133">
        <v>3.15760756830075E-2</v>
      </c>
      <c r="K133">
        <v>0.14714046264154401</v>
      </c>
      <c r="L133">
        <v>6.6879106005108902E-3</v>
      </c>
    </row>
    <row r="134" spans="1:35" hidden="1" x14ac:dyDescent="0.2">
      <c r="A134">
        <v>19</v>
      </c>
      <c r="B134" t="s">
        <v>37</v>
      </c>
      <c r="C134">
        <v>-14.7228731048946</v>
      </c>
      <c r="D134">
        <v>0.13811947296966101</v>
      </c>
      <c r="E134">
        <v>-10.9581161383501</v>
      </c>
      <c r="F134">
        <v>1.79145672194132</v>
      </c>
      <c r="G134" t="s">
        <v>16</v>
      </c>
      <c r="H134" t="s">
        <v>17</v>
      </c>
      <c r="I134">
        <v>2.2166704609162999</v>
      </c>
      <c r="J134">
        <v>8.3775048590808698E-2</v>
      </c>
      <c r="K134">
        <v>2.3173243424418601E-2</v>
      </c>
      <c r="L134">
        <v>3.2006761687783801E-3</v>
      </c>
    </row>
    <row r="135" spans="1:35" hidden="1" x14ac:dyDescent="0.2">
      <c r="A135">
        <v>19</v>
      </c>
      <c r="B135" t="s">
        <v>37</v>
      </c>
      <c r="C135">
        <v>-14.5595262097883</v>
      </c>
      <c r="D135">
        <v>0.28833161565780802</v>
      </c>
      <c r="E135">
        <v>-10.9581161383501</v>
      </c>
      <c r="F135">
        <v>1.79145672194132</v>
      </c>
      <c r="G135" t="s">
        <v>16</v>
      </c>
      <c r="H135" t="s">
        <v>17</v>
      </c>
      <c r="I135">
        <v>2.1173905388676499</v>
      </c>
      <c r="J135">
        <v>0.175624084805487</v>
      </c>
      <c r="K135">
        <v>2.7285221197822101E-2</v>
      </c>
      <c r="L135">
        <v>7.8671919115487401E-3</v>
      </c>
    </row>
    <row r="136" spans="1:35" hidden="1" x14ac:dyDescent="0.2">
      <c r="A136">
        <v>20</v>
      </c>
      <c r="B136" t="s">
        <v>37</v>
      </c>
      <c r="C136">
        <v>-13.1418464006407</v>
      </c>
      <c r="D136">
        <v>9.7781382516518106E-2</v>
      </c>
      <c r="E136">
        <v>-10.1270569244575</v>
      </c>
      <c r="F136">
        <v>0.82659340323948405</v>
      </c>
      <c r="G136" t="s">
        <v>13</v>
      </c>
      <c r="H136" t="s">
        <v>18</v>
      </c>
      <c r="I136">
        <v>1.7564152360032801</v>
      </c>
      <c r="J136">
        <v>6.0922627795151299E-2</v>
      </c>
      <c r="K136">
        <v>4.9056161890437898E-2</v>
      </c>
      <c r="L136">
        <v>4.7967793306011499E-3</v>
      </c>
    </row>
    <row r="137" spans="1:35" hidden="1" x14ac:dyDescent="0.2">
      <c r="A137">
        <v>20</v>
      </c>
      <c r="B137" t="s">
        <v>37</v>
      </c>
      <c r="C137">
        <v>-13.2715571643985</v>
      </c>
      <c r="D137">
        <v>8.6780923475962807E-2</v>
      </c>
      <c r="E137">
        <v>-10.1270569244575</v>
      </c>
      <c r="F137">
        <v>0.82659340323948405</v>
      </c>
      <c r="G137" t="s">
        <v>13</v>
      </c>
      <c r="H137" t="s">
        <v>18</v>
      </c>
      <c r="I137">
        <v>1.8369734705788801</v>
      </c>
      <c r="J137">
        <v>5.3731602695174102E-2</v>
      </c>
      <c r="K137">
        <v>4.3088452554426802E-2</v>
      </c>
      <c r="L137">
        <v>3.7392557038233702E-3</v>
      </c>
    </row>
    <row r="138" spans="1:35" hidden="1" x14ac:dyDescent="0.2">
      <c r="A138">
        <v>22</v>
      </c>
      <c r="B138" t="s">
        <v>37</v>
      </c>
      <c r="C138">
        <v>-12.4752453139462</v>
      </c>
      <c r="D138">
        <v>4.6962661158985897E-2</v>
      </c>
      <c r="E138">
        <v>-10.1270569244575</v>
      </c>
      <c r="F138">
        <v>0.82659340323948405</v>
      </c>
      <c r="G138" t="s">
        <v>13</v>
      </c>
      <c r="H138" t="s">
        <v>19</v>
      </c>
      <c r="I138">
        <v>1.3317692316076399</v>
      </c>
      <c r="J138">
        <v>3.0763919078539401E-2</v>
      </c>
      <c r="K138">
        <v>9.5542090584404799E-2</v>
      </c>
      <c r="L138">
        <v>4.4869108265365399E-3</v>
      </c>
    </row>
    <row r="139" spans="1:35" hidden="1" x14ac:dyDescent="0.2">
      <c r="A139">
        <v>22</v>
      </c>
      <c r="B139" t="s">
        <v>37</v>
      </c>
      <c r="C139">
        <v>-12.579810440208901</v>
      </c>
      <c r="D139">
        <v>0.185568236871375</v>
      </c>
      <c r="E139">
        <v>-10.1270569244575</v>
      </c>
      <c r="F139">
        <v>0.82659340323948405</v>
      </c>
      <c r="G139" t="s">
        <v>13</v>
      </c>
      <c r="H139" t="s">
        <v>19</v>
      </c>
      <c r="I139">
        <v>1.39990400930736</v>
      </c>
      <c r="J139">
        <v>0.120298862831304</v>
      </c>
      <c r="K139">
        <v>8.6056302582121005E-2</v>
      </c>
      <c r="L139">
        <v>1.5969316341833701E-2</v>
      </c>
    </row>
    <row r="140" spans="1:35" x14ac:dyDescent="0.2">
      <c r="A140">
        <v>24</v>
      </c>
      <c r="B140" t="s">
        <v>37</v>
      </c>
      <c r="C140">
        <v>-11.8762172145469</v>
      </c>
      <c r="D140">
        <v>4.2890171743453401E-2</v>
      </c>
      <c r="E140">
        <v>-10.9581161383501</v>
      </c>
      <c r="F140">
        <v>1.79145672194132</v>
      </c>
      <c r="G140" t="s">
        <v>16</v>
      </c>
      <c r="H140" t="s">
        <v>20</v>
      </c>
      <c r="I140">
        <v>0.24201856654722001</v>
      </c>
      <c r="J140">
        <v>4.2301960856132199E-2</v>
      </c>
      <c r="K140">
        <v>0.39927651734491798</v>
      </c>
      <c r="L140">
        <v>1.7125038402051401E-2</v>
      </c>
    </row>
    <row r="141" spans="1:35" x14ac:dyDescent="0.2">
      <c r="A141">
        <v>24</v>
      </c>
      <c r="B141" t="s">
        <v>37</v>
      </c>
      <c r="C141">
        <v>-11.9189970675049</v>
      </c>
      <c r="D141">
        <v>6.2313649839220102E-2</v>
      </c>
      <c r="E141">
        <v>-10.9581161383501</v>
      </c>
      <c r="F141">
        <v>1.79145672194132</v>
      </c>
      <c r="G141" t="s">
        <v>16</v>
      </c>
      <c r="H141" t="s">
        <v>20</v>
      </c>
      <c r="I141">
        <v>0.28363111201382901</v>
      </c>
      <c r="J141">
        <v>5.97947080641359E-2</v>
      </c>
      <c r="K141">
        <v>0.38255573299444701</v>
      </c>
      <c r="L141">
        <v>2.3838443989802099E-2</v>
      </c>
    </row>
    <row r="142" spans="1:35" hidden="1" x14ac:dyDescent="0.2">
      <c r="A142">
        <v>27</v>
      </c>
      <c r="B142" t="s">
        <v>37</v>
      </c>
      <c r="C142">
        <v>-12.9356384102459</v>
      </c>
      <c r="D142">
        <v>8.5982802361508098E-2</v>
      </c>
      <c r="E142">
        <v>-10.1270569244575</v>
      </c>
      <c r="F142">
        <v>0.82659340323948405</v>
      </c>
      <c r="G142" t="s">
        <v>13</v>
      </c>
      <c r="H142" t="s">
        <v>21</v>
      </c>
      <c r="I142">
        <v>1.62719891215882</v>
      </c>
      <c r="J142">
        <v>5.4211981334457399E-2</v>
      </c>
      <c r="K142">
        <v>6.0290454630061302E-2</v>
      </c>
      <c r="L142">
        <v>5.18394224474203E-3</v>
      </c>
      <c r="AH142">
        <v>1.62719891215882</v>
      </c>
      <c r="AI142">
        <v>5</v>
      </c>
    </row>
    <row r="143" spans="1:35" hidden="1" x14ac:dyDescent="0.2">
      <c r="A143">
        <v>27</v>
      </c>
      <c r="B143" t="s">
        <v>37</v>
      </c>
      <c r="C143">
        <v>-12.942544881799501</v>
      </c>
      <c r="D143">
        <v>7.9945475920389E-3</v>
      </c>
      <c r="E143">
        <v>-10.1270569244575</v>
      </c>
      <c r="F143">
        <v>0.82659340323948405</v>
      </c>
      <c r="G143" t="s">
        <v>13</v>
      </c>
      <c r="H143" t="s">
        <v>21</v>
      </c>
      <c r="I143">
        <v>1.63155246610889</v>
      </c>
      <c r="J143">
        <v>5.0383210973393997E-3</v>
      </c>
      <c r="K143">
        <v>5.9875494923347698E-2</v>
      </c>
      <c r="L143">
        <v>4.7867749376158701E-4</v>
      </c>
      <c r="AH143">
        <v>1.63155246610889</v>
      </c>
      <c r="AI143">
        <v>5</v>
      </c>
    </row>
    <row r="144" spans="1:35" hidden="1" x14ac:dyDescent="0.2">
      <c r="A144">
        <v>29</v>
      </c>
      <c r="B144" t="s">
        <v>37</v>
      </c>
      <c r="C144">
        <v>-16.325118945544499</v>
      </c>
      <c r="D144">
        <v>0.64201591627066601</v>
      </c>
      <c r="E144">
        <v>-10.9581161383501</v>
      </c>
      <c r="F144">
        <v>1.79145672194132</v>
      </c>
      <c r="G144" t="s">
        <v>16</v>
      </c>
      <c r="H144" t="s">
        <v>33</v>
      </c>
      <c r="I144">
        <v>3.17709613278222</v>
      </c>
      <c r="J144">
        <v>0.382168770502539</v>
      </c>
      <c r="K144">
        <v>4.6681015644776799E-3</v>
      </c>
      <c r="L144">
        <v>2.9969955031626701E-3</v>
      </c>
    </row>
    <row r="145" spans="1:12" hidden="1" x14ac:dyDescent="0.2">
      <c r="A145">
        <v>30</v>
      </c>
      <c r="B145" t="s">
        <v>37</v>
      </c>
      <c r="C145">
        <v>-15.5569042728802</v>
      </c>
      <c r="D145">
        <v>0.33101628217677398</v>
      </c>
      <c r="E145">
        <v>-10.9581161383501</v>
      </c>
      <c r="F145">
        <v>1.79145672194132</v>
      </c>
      <c r="G145" t="s">
        <v>16</v>
      </c>
      <c r="H145" t="s">
        <v>22</v>
      </c>
      <c r="I145">
        <v>2.7187197658788902</v>
      </c>
      <c r="J145">
        <v>0.19811600969545201</v>
      </c>
      <c r="K145">
        <v>1.0064024601418E-2</v>
      </c>
      <c r="L145">
        <v>3.33135600729698E-3</v>
      </c>
    </row>
    <row r="146" spans="1:12" hidden="1" x14ac:dyDescent="0.2">
      <c r="A146">
        <v>30</v>
      </c>
      <c r="B146" t="s">
        <v>37</v>
      </c>
      <c r="C146">
        <v>-15.153679275837</v>
      </c>
      <c r="D146">
        <v>0.25433274492854202</v>
      </c>
      <c r="E146">
        <v>-10.9581161383501</v>
      </c>
      <c r="F146">
        <v>1.79145672194132</v>
      </c>
      <c r="G146" t="s">
        <v>16</v>
      </c>
      <c r="H146" t="s">
        <v>22</v>
      </c>
      <c r="I146">
        <v>2.4768159617848702</v>
      </c>
      <c r="J146">
        <v>0.152992739699574</v>
      </c>
      <c r="K146">
        <v>1.50622579512509E-2</v>
      </c>
      <c r="L146">
        <v>3.8308254095634001E-3</v>
      </c>
    </row>
    <row r="147" spans="1:12" hidden="1" x14ac:dyDescent="0.2">
      <c r="A147">
        <v>53</v>
      </c>
      <c r="B147" t="s">
        <v>37</v>
      </c>
      <c r="C147">
        <v>-11.574638159244101</v>
      </c>
      <c r="D147">
        <v>8.6116646926441304E-2</v>
      </c>
      <c r="E147">
        <v>-10.9581161383501</v>
      </c>
      <c r="F147">
        <v>1.79145672194132</v>
      </c>
      <c r="G147" t="s">
        <v>16</v>
      </c>
      <c r="H147" t="s">
        <v>38</v>
      </c>
      <c r="I147">
        <v>-9.4568073277017703E-2</v>
      </c>
      <c r="J147">
        <v>0.110875457509488</v>
      </c>
      <c r="K147">
        <v>0.53981865446314603</v>
      </c>
      <c r="L147">
        <v>4.6487372470709401E-2</v>
      </c>
    </row>
    <row r="148" spans="1:12" hidden="1" x14ac:dyDescent="0.2">
      <c r="A148">
        <v>53</v>
      </c>
      <c r="B148" t="s">
        <v>37</v>
      </c>
      <c r="C148">
        <v>-11.532919746635701</v>
      </c>
      <c r="D148">
        <v>2.4929424370069401E-2</v>
      </c>
      <c r="E148">
        <v>-10.9581161383501</v>
      </c>
      <c r="F148">
        <v>1.79145672194132</v>
      </c>
      <c r="G148" t="s">
        <v>16</v>
      </c>
      <c r="H148" t="s">
        <v>38</v>
      </c>
      <c r="I148">
        <v>-0.149659397576867</v>
      </c>
      <c r="J148">
        <v>3.3785061080202503E-2</v>
      </c>
      <c r="K148">
        <v>0.56281539023326499</v>
      </c>
      <c r="L148">
        <v>1.40306637051312E-2</v>
      </c>
    </row>
    <row r="149" spans="1:12" hidden="1" x14ac:dyDescent="0.2">
      <c r="A149">
        <v>35</v>
      </c>
      <c r="B149" t="s">
        <v>37</v>
      </c>
      <c r="C149">
        <v>-12.824144825330601</v>
      </c>
      <c r="D149">
        <v>4.2840170516855298E-2</v>
      </c>
      <c r="E149">
        <v>-10.1270569244575</v>
      </c>
      <c r="F149">
        <v>0.82659340323948405</v>
      </c>
      <c r="G149" t="s">
        <v>13</v>
      </c>
      <c r="H149" t="s">
        <v>23</v>
      </c>
      <c r="I149">
        <v>1.55664008699539</v>
      </c>
      <c r="J149">
        <v>2.7216595852850502E-2</v>
      </c>
      <c r="K149">
        <v>6.7401507093708707E-2</v>
      </c>
      <c r="L149">
        <v>2.8874920569875099E-3</v>
      </c>
    </row>
    <row r="150" spans="1:12" hidden="1" x14ac:dyDescent="0.2">
      <c r="A150">
        <v>35</v>
      </c>
      <c r="B150" t="s">
        <v>37</v>
      </c>
      <c r="C150">
        <v>-12.8043436257592</v>
      </c>
      <c r="D150">
        <v>6.7931472012408706E-2</v>
      </c>
      <c r="E150">
        <v>-10.1270569244575</v>
      </c>
      <c r="F150">
        <v>0.82659340323948405</v>
      </c>
      <c r="G150" t="s">
        <v>13</v>
      </c>
      <c r="H150" t="s">
        <v>23</v>
      </c>
      <c r="I150">
        <v>1.5440512062024401</v>
      </c>
      <c r="J150">
        <v>4.3219705274058398E-2</v>
      </c>
      <c r="K150">
        <v>6.87494390802324E-2</v>
      </c>
      <c r="L150">
        <v>4.6702505967476E-3</v>
      </c>
    </row>
    <row r="151" spans="1:12" hidden="1" x14ac:dyDescent="0.2">
      <c r="A151">
        <v>37</v>
      </c>
      <c r="B151" t="s">
        <v>37</v>
      </c>
      <c r="C151">
        <v>-16.414934514103201</v>
      </c>
      <c r="D151">
        <v>1.0305940168132</v>
      </c>
      <c r="E151">
        <v>-10.9581161383501</v>
      </c>
      <c r="F151">
        <v>1.79145672194132</v>
      </c>
      <c r="G151" t="s">
        <v>16</v>
      </c>
      <c r="H151" t="s">
        <v>24</v>
      </c>
      <c r="I151">
        <v>3.23054915275205</v>
      </c>
      <c r="J151">
        <v>0.61322815654025198</v>
      </c>
      <c r="K151">
        <v>4.2671105125629697E-3</v>
      </c>
      <c r="L151">
        <v>4.3976585633281502E-3</v>
      </c>
    </row>
    <row r="152" spans="1:12" hidden="1" x14ac:dyDescent="0.2">
      <c r="A152">
        <v>37</v>
      </c>
      <c r="B152" t="s">
        <v>37</v>
      </c>
      <c r="C152">
        <v>-15.640092623167</v>
      </c>
      <c r="D152">
        <v>0.47463897204090499</v>
      </c>
      <c r="E152">
        <v>-10.9581161383501</v>
      </c>
      <c r="F152">
        <v>1.79145672194132</v>
      </c>
      <c r="G152" t="s">
        <v>16</v>
      </c>
      <c r="H152" t="s">
        <v>24</v>
      </c>
      <c r="I152">
        <v>2.7684882176064001</v>
      </c>
      <c r="J152">
        <v>0.283845049105383</v>
      </c>
      <c r="K152">
        <v>9.2606921692642598E-3</v>
      </c>
      <c r="L152">
        <v>4.3954854116068504E-3</v>
      </c>
    </row>
    <row r="153" spans="1:12" hidden="1" x14ac:dyDescent="0.2">
      <c r="A153">
        <v>39</v>
      </c>
      <c r="B153" t="s">
        <v>37</v>
      </c>
      <c r="C153">
        <v>-14.9865878529094</v>
      </c>
      <c r="D153">
        <v>9.7837479436713004E-2</v>
      </c>
      <c r="E153">
        <v>-10.9581161383501</v>
      </c>
      <c r="F153">
        <v>1.79145672194132</v>
      </c>
      <c r="G153" t="s">
        <v>16</v>
      </c>
      <c r="H153" t="s">
        <v>25</v>
      </c>
      <c r="I153">
        <v>2.3761667248809202</v>
      </c>
      <c r="J153">
        <v>5.90178410654826E-2</v>
      </c>
      <c r="K153">
        <v>1.7801514971289401E-2</v>
      </c>
      <c r="L153">
        <v>1.7416553549458699E-3</v>
      </c>
    </row>
    <row r="154" spans="1:12" hidden="1" x14ac:dyDescent="0.2">
      <c r="A154">
        <v>39</v>
      </c>
      <c r="B154" t="s">
        <v>37</v>
      </c>
      <c r="C154">
        <v>-14.7877445362878</v>
      </c>
      <c r="D154">
        <v>0.18346982547989499</v>
      </c>
      <c r="E154">
        <v>-10.9581161383501</v>
      </c>
      <c r="F154">
        <v>1.79145672194132</v>
      </c>
      <c r="G154" t="s">
        <v>16</v>
      </c>
      <c r="H154" t="s">
        <v>25</v>
      </c>
      <c r="I154">
        <v>2.2559880059680402</v>
      </c>
      <c r="J154">
        <v>0.11111629904524201</v>
      </c>
      <c r="K154">
        <v>2.1717684466894101E-2</v>
      </c>
      <c r="L154">
        <v>3.98453977896849E-3</v>
      </c>
    </row>
    <row r="155" spans="1:12" hidden="1" x14ac:dyDescent="0.2">
      <c r="A155">
        <v>41</v>
      </c>
      <c r="B155" t="s">
        <v>37</v>
      </c>
      <c r="C155">
        <v>-15.3568006782833</v>
      </c>
      <c r="D155">
        <v>0.67945443778193404</v>
      </c>
      <c r="E155">
        <v>-10.9581161383501</v>
      </c>
      <c r="F155">
        <v>1.79145672194132</v>
      </c>
      <c r="G155" t="s">
        <v>16</v>
      </c>
      <c r="H155" t="s">
        <v>26</v>
      </c>
      <c r="I155">
        <v>2.5988255326777101</v>
      </c>
      <c r="J155">
        <v>0.40757707756399503</v>
      </c>
      <c r="K155">
        <v>1.2293500880668299E-2</v>
      </c>
      <c r="L155">
        <v>8.3528737292462001E-3</v>
      </c>
    </row>
    <row r="156" spans="1:12" hidden="1" x14ac:dyDescent="0.2">
      <c r="A156">
        <v>44</v>
      </c>
      <c r="B156" t="s">
        <v>37</v>
      </c>
      <c r="C156">
        <v>-14.773022385587399</v>
      </c>
      <c r="D156">
        <v>0.41404032293580201</v>
      </c>
      <c r="E156">
        <v>-10.9581161383501</v>
      </c>
      <c r="F156">
        <v>1.79145672194132</v>
      </c>
      <c r="G156" t="s">
        <v>16</v>
      </c>
      <c r="H156" t="s">
        <v>27</v>
      </c>
      <c r="I156">
        <v>2.2470702474419699</v>
      </c>
      <c r="J156">
        <v>0.25084114369847399</v>
      </c>
      <c r="K156">
        <v>2.20397806471129E-2</v>
      </c>
      <c r="L156">
        <v>9.1253578965648906E-3</v>
      </c>
    </row>
    <row r="157" spans="1:12" hidden="1" x14ac:dyDescent="0.2">
      <c r="A157">
        <v>45</v>
      </c>
      <c r="B157" t="s">
        <v>37</v>
      </c>
      <c r="C157">
        <v>-16.313654706249601</v>
      </c>
      <c r="D157">
        <v>1.50451604716127</v>
      </c>
      <c r="E157">
        <v>-10.9581161383501</v>
      </c>
      <c r="F157">
        <v>1.79145672194132</v>
      </c>
      <c r="G157" t="s">
        <v>16</v>
      </c>
      <c r="H157" t="s">
        <v>28</v>
      </c>
      <c r="I157">
        <v>3.1702717030988601</v>
      </c>
      <c r="J157">
        <v>0.89563222339057302</v>
      </c>
      <c r="K157">
        <v>4.7219257349480704E-3</v>
      </c>
      <c r="L157">
        <v>7.1042130417331498E-3</v>
      </c>
    </row>
    <row r="158" spans="1:12" hidden="1" x14ac:dyDescent="0.2">
      <c r="A158">
        <v>45</v>
      </c>
      <c r="B158" t="s">
        <v>37</v>
      </c>
      <c r="C158">
        <v>-15.1755033989498</v>
      </c>
      <c r="D158">
        <v>0.431795436241936</v>
      </c>
      <c r="E158">
        <v>-10.9581161383501</v>
      </c>
      <c r="F158">
        <v>1.79145672194132</v>
      </c>
      <c r="G158" t="s">
        <v>16</v>
      </c>
      <c r="H158" t="s">
        <v>28</v>
      </c>
      <c r="I158">
        <v>2.4899419922551602</v>
      </c>
      <c r="J158">
        <v>0.25965891634086002</v>
      </c>
      <c r="K158">
        <v>1.47370984457195E-2</v>
      </c>
      <c r="L158">
        <v>6.3634118523098601E-3</v>
      </c>
    </row>
    <row r="159" spans="1:12" hidden="1" x14ac:dyDescent="0.2">
      <c r="A159">
        <v>61</v>
      </c>
      <c r="B159" t="s">
        <v>37</v>
      </c>
      <c r="C159">
        <v>-11.3661563499127</v>
      </c>
      <c r="D159">
        <v>6.6823559297281801E-2</v>
      </c>
      <c r="E159">
        <v>-10.1270569244575</v>
      </c>
      <c r="F159">
        <v>0.82659340323948405</v>
      </c>
      <c r="G159" t="s">
        <v>13</v>
      </c>
      <c r="H159" t="s">
        <v>29</v>
      </c>
      <c r="I159">
        <v>0.53152361963096595</v>
      </c>
      <c r="J159">
        <v>5.5735442472311603E-2</v>
      </c>
      <c r="K159">
        <v>0.28964494738490099</v>
      </c>
      <c r="L159">
        <v>1.9355106316733001E-2</v>
      </c>
    </row>
    <row r="160" spans="1:12" hidden="1" x14ac:dyDescent="0.2">
      <c r="A160">
        <v>61</v>
      </c>
      <c r="B160" t="s">
        <v>37</v>
      </c>
      <c r="C160">
        <v>-11.5075309774278</v>
      </c>
      <c r="D160">
        <v>6.64304581394876E-2</v>
      </c>
      <c r="E160">
        <v>-10.1270569244575</v>
      </c>
      <c r="F160">
        <v>0.82659340323948405</v>
      </c>
      <c r="G160" t="s">
        <v>13</v>
      </c>
      <c r="H160" t="s">
        <v>29</v>
      </c>
      <c r="I160">
        <v>0.64630884527119703</v>
      </c>
      <c r="J160">
        <v>5.2581038932687299E-2</v>
      </c>
      <c r="K160">
        <v>0.25145931976310099</v>
      </c>
      <c r="L160">
        <v>1.6704557815306699E-2</v>
      </c>
    </row>
    <row r="161" spans="1:26" hidden="1" x14ac:dyDescent="0.2">
      <c r="A161">
        <v>62</v>
      </c>
      <c r="B161" t="s">
        <v>37</v>
      </c>
      <c r="C161">
        <v>-12.175189171234701</v>
      </c>
      <c r="D161">
        <v>0.12869605772443901</v>
      </c>
      <c r="E161">
        <v>-10.1270569244575</v>
      </c>
      <c r="F161">
        <v>0.82659340323948405</v>
      </c>
      <c r="G161" t="s">
        <v>13</v>
      </c>
      <c r="H161" t="s">
        <v>30</v>
      </c>
      <c r="I161">
        <v>1.1316740940393699</v>
      </c>
      <c r="J161">
        <v>8.7541146898167693E-2</v>
      </c>
      <c r="K161">
        <v>0.12897557330471701</v>
      </c>
      <c r="L161">
        <v>1.65986478270665E-2</v>
      </c>
    </row>
    <row r="162" spans="1:26" hidden="1" x14ac:dyDescent="0.2">
      <c r="A162">
        <v>62</v>
      </c>
      <c r="B162" t="s">
        <v>37</v>
      </c>
      <c r="C162">
        <v>-12.3162756477969</v>
      </c>
      <c r="D162">
        <v>0.11890833052404599</v>
      </c>
      <c r="E162">
        <v>-10.1270569244575</v>
      </c>
      <c r="F162">
        <v>0.82659340323948405</v>
      </c>
      <c r="G162" t="s">
        <v>13</v>
      </c>
      <c r="H162" t="s">
        <v>30</v>
      </c>
      <c r="I162">
        <v>1.2266988717330201</v>
      </c>
      <c r="J162">
        <v>7.9337535014775099E-2</v>
      </c>
      <c r="K162">
        <v>0.11200422072645801</v>
      </c>
      <c r="L162">
        <v>1.33182348982299E-2</v>
      </c>
    </row>
    <row r="163" spans="1:26" hidden="1" x14ac:dyDescent="0.2">
      <c r="A163">
        <v>64</v>
      </c>
      <c r="B163" t="s">
        <v>37</v>
      </c>
      <c r="C163">
        <v>-13.169104371802</v>
      </c>
      <c r="D163">
        <v>0.12783891000945999</v>
      </c>
      <c r="E163">
        <v>-10.9581161383501</v>
      </c>
      <c r="F163">
        <v>1.79145672194132</v>
      </c>
      <c r="G163" t="s">
        <v>16</v>
      </c>
      <c r="H163" t="s">
        <v>31</v>
      </c>
      <c r="I163">
        <v>1.2412040744483099</v>
      </c>
      <c r="J163">
        <v>8.5065110629813007E-2</v>
      </c>
      <c r="K163">
        <v>0.10959229221443199</v>
      </c>
      <c r="L163">
        <v>1.4010159182131301E-2</v>
      </c>
    </row>
    <row r="164" spans="1:26" hidden="1" x14ac:dyDescent="0.2">
      <c r="A164">
        <v>64</v>
      </c>
      <c r="B164" t="s">
        <v>37</v>
      </c>
      <c r="C164">
        <v>-13.166490943862099</v>
      </c>
      <c r="D164">
        <v>9.4395472219848398E-2</v>
      </c>
      <c r="E164">
        <v>-10.9581161383501</v>
      </c>
      <c r="F164">
        <v>1.79145672194132</v>
      </c>
      <c r="G164" t="s">
        <v>16</v>
      </c>
      <c r="H164" t="s">
        <v>31</v>
      </c>
      <c r="I164">
        <v>1.2394647970216801</v>
      </c>
      <c r="J164">
        <v>6.2831796502614098E-2</v>
      </c>
      <c r="K164">
        <v>0.10987907835713399</v>
      </c>
      <c r="L164">
        <v>1.0372087488603399E-2</v>
      </c>
    </row>
    <row r="167" spans="1:26" x14ac:dyDescent="0.2">
      <c r="G167" t="s">
        <v>20</v>
      </c>
      <c r="H167" t="s">
        <v>12</v>
      </c>
      <c r="I167">
        <f>AVERAGE(I12:I13)</f>
        <v>-1.07819587163165</v>
      </c>
      <c r="J167">
        <f>J13</f>
        <v>0.12655149197671101</v>
      </c>
      <c r="K167">
        <f>AVERAGE(K12:K13)</f>
        <v>0.86054045788106903</v>
      </c>
      <c r="L167">
        <f>SQRT(SUMSQ(L12:L13))</f>
        <v>3.2854907377899999E-2</v>
      </c>
      <c r="N167" t="s">
        <v>22</v>
      </c>
      <c r="O167" t="s">
        <v>12</v>
      </c>
      <c r="P167">
        <f>AVERAGE(I16:I17)</f>
        <v>1.8314826810142</v>
      </c>
      <c r="Q167">
        <f>SQRT(SUMSQ(J16:J17))</f>
        <v>0.19822253676740542</v>
      </c>
      <c r="R167">
        <f>AVERAGE(K16:K17)</f>
        <v>4.3707444016121949E-2</v>
      </c>
      <c r="S167">
        <f>SQRT(SUMSQ(L16:L17))</f>
        <v>1.4487160172995516E-2</v>
      </c>
      <c r="U167" t="s">
        <v>33</v>
      </c>
      <c r="V167" t="s">
        <v>39</v>
      </c>
      <c r="W167">
        <f>AVERAGE(I50:I51)</f>
        <v>1.8613199895143451</v>
      </c>
      <c r="X167">
        <f>SQRT(SUMSQ(J50:J51))</f>
        <v>0.36815254064077557</v>
      </c>
      <c r="Y167">
        <f>AVERAGE(K50:K51)</f>
        <v>4.2912809206602003E-2</v>
      </c>
      <c r="Z167">
        <f>SQRT(SUMSQ(L50:L51))</f>
        <v>2.2176436102019338E-2</v>
      </c>
    </row>
    <row r="168" spans="1:26" x14ac:dyDescent="0.2">
      <c r="H168" t="s">
        <v>39</v>
      </c>
      <c r="I168">
        <f>AVERAGE(I46:I47)</f>
        <v>-1.48657784644351</v>
      </c>
      <c r="J168">
        <f>SQRT(SUMSQ(J46:J47))</f>
        <v>0.3664515665892264</v>
      </c>
      <c r="K168">
        <f>AVERAGE(K46:K47)</f>
        <v>0.91920416792171156</v>
      </c>
      <c r="L168">
        <f>SQRT(SUMSQ(L46:L47))</f>
        <v>5.3036147231395527E-2</v>
      </c>
      <c r="O168" t="s">
        <v>37</v>
      </c>
      <c r="P168">
        <f>AVERAGE(I145:I146)</f>
        <v>2.59776786383188</v>
      </c>
      <c r="Q168">
        <f>SQRT(SUMSQ(J145:J146))</f>
        <v>0.25031326712427776</v>
      </c>
      <c r="R168">
        <f t="shared" ref="R168:S168" si="0">SQRT(SUMSQ(K145:K146))</f>
        <v>1.8115082273287297E-2</v>
      </c>
      <c r="S168">
        <f t="shared" si="0"/>
        <v>5.076726914647888E-3</v>
      </c>
      <c r="V168" t="s">
        <v>35</v>
      </c>
      <c r="W168">
        <f>AVERAGE(I83)</f>
        <v>3.4178026945178099</v>
      </c>
      <c r="X168">
        <f>SQRT(SUMSQ(J51:J52))</f>
        <v>0.3477338243781613</v>
      </c>
      <c r="Y168">
        <f>AVERAGE(K51:K52)</f>
        <v>0.45218473979787893</v>
      </c>
      <c r="Z168">
        <f>SQRT(SUMSQ(L51:L52))</f>
        <v>2.7027087530358755E-2</v>
      </c>
    </row>
    <row r="169" spans="1:26" x14ac:dyDescent="0.2">
      <c r="H169" t="s">
        <v>35</v>
      </c>
      <c r="I169">
        <f>AVERAGE(I79:I80)</f>
        <v>-1.7221967777963001</v>
      </c>
      <c r="J169">
        <f>SQRT(SUMSQ(J79:J80))</f>
        <v>0.87532426084012793</v>
      </c>
      <c r="K169">
        <f>AVERAGE(K79:K80)</f>
        <v>0.94816318996138849</v>
      </c>
      <c r="L169">
        <f>SQRT(SUMSQ(L79:L80))</f>
        <v>7.24108312320592E-2</v>
      </c>
      <c r="V169" t="s">
        <v>36</v>
      </c>
      <c r="W169">
        <f>AVERAGE(I110:I111)</f>
        <v>2.4082117644115599</v>
      </c>
      <c r="X169">
        <f>SQRT(SUMSQ(J110:J111))</f>
        <v>0.3214452895768955</v>
      </c>
      <c r="Y169">
        <f>AVERAGE(K110:K111)</f>
        <v>1.6880168839923E-2</v>
      </c>
      <c r="Z169">
        <f>SQRT(SUMSQ(L110:L111))</f>
        <v>9.0127125566434405E-3</v>
      </c>
    </row>
    <row r="170" spans="1:26" x14ac:dyDescent="0.2">
      <c r="H170" t="s">
        <v>36</v>
      </c>
      <c r="I170">
        <f>AVERAGE(I106:I107)</f>
        <v>-0.83569990913870151</v>
      </c>
      <c r="J170">
        <f>SQRT(SUMSQ(J106:J107))</f>
        <v>0.13430811312904425</v>
      </c>
      <c r="K170">
        <f>AVERAGE(K106:K107)</f>
        <v>0.80243598310270803</v>
      </c>
      <c r="L170">
        <f>SQRT(SUMSQ(L106:L107))</f>
        <v>3.3312418117962608E-2</v>
      </c>
      <c r="V170" t="s">
        <v>37</v>
      </c>
      <c r="W170">
        <f>I144</f>
        <v>3.17709613278222</v>
      </c>
      <c r="X170">
        <f t="shared" ref="X170:Z170" si="1">J144</f>
        <v>0.382168770502539</v>
      </c>
      <c r="Y170">
        <f t="shared" si="1"/>
        <v>4.6681015644776799E-3</v>
      </c>
      <c r="Z170">
        <f t="shared" si="1"/>
        <v>2.9969955031626701E-3</v>
      </c>
    </row>
    <row r="171" spans="1:26" x14ac:dyDescent="0.2">
      <c r="H171" t="s">
        <v>37</v>
      </c>
      <c r="I171">
        <f>AVERAGE(I140:I141)</f>
        <v>0.26282483928052452</v>
      </c>
      <c r="J171">
        <f>SQRT(SUMSQ(J140:J141))</f>
        <v>7.3245225132761924E-2</v>
      </c>
      <c r="K171">
        <f>AVERAGE(K140:K141)</f>
        <v>0.39091612516968249</v>
      </c>
      <c r="L171">
        <f>SQRT(SUMSQ(L140:L141))</f>
        <v>2.9351973564424368E-2</v>
      </c>
    </row>
    <row r="189" spans="7:27" x14ac:dyDescent="0.2">
      <c r="G189" t="s">
        <v>23</v>
      </c>
      <c r="H189" t="s">
        <v>12</v>
      </c>
      <c r="I189">
        <f>AVERAGE(I18:I19)</f>
        <v>0.51045065429232794</v>
      </c>
      <c r="J189">
        <f>SQRT(SUMSQ(J18:J19))</f>
        <v>4.0650150490469168E-2</v>
      </c>
      <c r="K189">
        <f t="shared" ref="K189:L189" si="2">SQRT(SUMSQ(K18:K19))</f>
        <v>0.42109997153907253</v>
      </c>
      <c r="L189">
        <f t="shared" si="2"/>
        <v>1.4160308774934271E-2</v>
      </c>
      <c r="N189" t="s">
        <v>21</v>
      </c>
      <c r="O189" t="s">
        <v>12</v>
      </c>
      <c r="P189">
        <f>AVERAGE(I14:I15)</f>
        <v>1.6966914347817101</v>
      </c>
      <c r="Q189">
        <f>SQRT(SUMSQ(J14:J15))</f>
        <v>8.1790787217648139E-2</v>
      </c>
      <c r="R189">
        <f>AVERAGE(K14:K15)</f>
        <v>5.4162539396382998E-2</v>
      </c>
      <c r="S189">
        <f>SQRT(SUMSQ(L14:L15))</f>
        <v>7.4802313672506296E-3</v>
      </c>
      <c r="U189" t="s">
        <v>19</v>
      </c>
      <c r="V189" t="s">
        <v>12</v>
      </c>
      <c r="W189">
        <f>AVERAGE(I10:I11)</f>
        <v>0.87813660287809148</v>
      </c>
      <c r="X189">
        <f>SQRT(SUMSQ(J10:J11))</f>
        <v>5.7651185435555002E-2</v>
      </c>
      <c r="Y189">
        <f>AVERAGE(K10:K11)</f>
        <v>0.185215108827084</v>
      </c>
      <c r="Z189">
        <f>SQRT(SUMSQ(L10:L11))</f>
        <v>1.4682028641568855E-2</v>
      </c>
      <c r="AA189">
        <f>STDEV(I10:I11)</f>
        <v>4.0031942059577906E-2</v>
      </c>
    </row>
    <row r="190" spans="7:27" x14ac:dyDescent="0.2">
      <c r="H190" t="s">
        <v>36</v>
      </c>
      <c r="I190">
        <f>AVERAGE(I112:I113)</f>
        <v>1.415817997479365</v>
      </c>
      <c r="J190">
        <f>SQRT(SUMSQ(I112:I113))</f>
        <v>2.0024134539226046</v>
      </c>
      <c r="K190">
        <f t="shared" ref="K190:L190" si="3">SQRT(SUMSQ(J112:J113))</f>
        <v>3.4147500852116541E-2</v>
      </c>
      <c r="L190">
        <f t="shared" si="3"/>
        <v>0.11882576151143674</v>
      </c>
      <c r="O190" t="s">
        <v>39</v>
      </c>
      <c r="P190">
        <f>AVERAGE(I48:I49)</f>
        <v>1.8116580126083699</v>
      </c>
      <c r="Q190">
        <f>SQRT(SUMSQ(J48:J49))</f>
        <v>8.2337928915415928E-2</v>
      </c>
      <c r="R190">
        <f>AVERAGE(K48:K49)</f>
        <v>4.5184348657415899E-2</v>
      </c>
      <c r="S190">
        <f>SQRT(SUMSQ(L48:L49))</f>
        <v>5.5330985553457487E-3</v>
      </c>
      <c r="V190" t="s">
        <v>39</v>
      </c>
      <c r="W190">
        <f>AVERAGE(I44:I45)</f>
        <v>0.82829184805528344</v>
      </c>
      <c r="X190">
        <f>SQRT(SUMSQ(J44:J45))</f>
        <v>4.8162265686734256E-2</v>
      </c>
      <c r="Y190">
        <f>AVERAGE(K44:K45)</f>
        <v>0.198241325028788</v>
      </c>
      <c r="Z190">
        <f>SQRT(SUMSQ(L44:L45))</f>
        <v>1.2563562641000506E-2</v>
      </c>
      <c r="AA190">
        <f t="shared" ref="AA190:AA193" si="4">STDEV(J11:J12)</f>
        <v>1.2535851059055563</v>
      </c>
    </row>
    <row r="191" spans="7:27" x14ac:dyDescent="0.2">
      <c r="H191" t="s">
        <v>39</v>
      </c>
      <c r="I191">
        <f>AVERAGE(I149:I150)</f>
        <v>1.5503456465989149</v>
      </c>
      <c r="J191">
        <f>SQRT(SUMSQ(I149:I150))</f>
        <v>2.1925379102346727</v>
      </c>
      <c r="K191">
        <f t="shared" ref="K191:L191" si="5">SQRT(SUMSQ(J149:J150))</f>
        <v>5.1075297490997255E-2</v>
      </c>
      <c r="L191">
        <f t="shared" si="5"/>
        <v>9.6277975323278642E-2</v>
      </c>
      <c r="O191" t="s">
        <v>35</v>
      </c>
      <c r="P191">
        <f>AVERAGE(I81:I82)</f>
        <v>1.7780696489923149</v>
      </c>
      <c r="Q191">
        <f>SQRT(SUMSQ(J81:J82))</f>
        <v>0.11438542984481286</v>
      </c>
      <c r="R191">
        <f>AVERAGE(K81:K82)</f>
        <v>4.7389342910926405E-2</v>
      </c>
      <c r="S191">
        <f>SQRT(SUMSQ(L81:L82))</f>
        <v>8.6258991435299113E-3</v>
      </c>
      <c r="V191" t="s">
        <v>35</v>
      </c>
      <c r="W191">
        <f>AVERAGE(I77:I78)</f>
        <v>0.765673333759331</v>
      </c>
      <c r="X191">
        <f>SQRT(SUMSQ(J77:J78))</f>
        <v>3.2491492610132025E-2</v>
      </c>
      <c r="Y191">
        <f>AVERAGE(K77:K78)</f>
        <v>0.21546234966423</v>
      </c>
      <c r="Z191">
        <f>SQRT(SUMSQ(L77:L78))</f>
        <v>9.2667014965468354E-3</v>
      </c>
      <c r="AA191">
        <f t="shared" si="4"/>
        <v>1.1930476560771441</v>
      </c>
    </row>
    <row r="192" spans="7:27" x14ac:dyDescent="0.2">
      <c r="O192" t="s">
        <v>36</v>
      </c>
      <c r="P192">
        <f>AVERAGE(I108:I109)</f>
        <v>2.0891458234166702</v>
      </c>
      <c r="Q192">
        <f>SQRT(SUMSQ(J108:J109))</f>
        <v>4.8032360412154487E-2</v>
      </c>
      <c r="R192">
        <f>AVERAGE(K108:K109)</f>
        <v>2.8622568165457E-2</v>
      </c>
      <c r="S192">
        <f>SQRT(SUMSQ(L108:L109))</f>
        <v>2.356711264219321E-3</v>
      </c>
      <c r="V192" t="s">
        <v>36</v>
      </c>
      <c r="W192">
        <f>AVERAGE(I104:I105)</f>
        <v>0.89049674894274844</v>
      </c>
      <c r="X192">
        <f>SQRT(SUMSQ(J104:J105))</f>
        <v>5.0142106377172903E-2</v>
      </c>
      <c r="Y192">
        <f>AVERAGE(K104:K105)</f>
        <v>0.18221046402722951</v>
      </c>
      <c r="Z192">
        <f>SQRT(SUMSQ(L104:L105))</f>
        <v>1.2490129575237848E-2</v>
      </c>
      <c r="AA192">
        <f t="shared" si="4"/>
        <v>3.6048481269339253E-2</v>
      </c>
    </row>
    <row r="193" spans="15:27" x14ac:dyDescent="0.2">
      <c r="O193" t="s">
        <v>37</v>
      </c>
      <c r="P193">
        <f>AVERAGE(I142:I143)</f>
        <v>1.6293756891338549</v>
      </c>
      <c r="Q193">
        <f>SQRT(SUMSQ(J142:J143))</f>
        <v>5.4445602207041963E-2</v>
      </c>
      <c r="R193">
        <f>AVERAGE(K142:K143)</f>
        <v>6.0082974776704504E-2</v>
      </c>
      <c r="S193">
        <f>SQRT(SUMSQ(L142:L143))</f>
        <v>5.2059955186164837E-3</v>
      </c>
      <c r="V193" t="s">
        <v>37</v>
      </c>
      <c r="W193">
        <f>AVERAGE(I138:I139)</f>
        <v>1.3658366204574999</v>
      </c>
      <c r="X193">
        <f>SQRT(SUMSQ(J138:J139))</f>
        <v>0.12417018609785449</v>
      </c>
      <c r="Y193">
        <f>AVERAGE(K138:K139)</f>
        <v>9.0799196583262909E-2</v>
      </c>
      <c r="Z193">
        <f>SQRT(SUMSQ(L138:L139))</f>
        <v>1.6587689205879393E-2</v>
      </c>
      <c r="AA193">
        <f t="shared" si="4"/>
        <v>3.1315449266647456E-2</v>
      </c>
    </row>
    <row r="209" spans="7:18" x14ac:dyDescent="0.2">
      <c r="G209">
        <v>33</v>
      </c>
      <c r="H209" t="s">
        <v>32</v>
      </c>
      <c r="I209">
        <v>-1.1416381307279999</v>
      </c>
      <c r="J209">
        <v>0.112530618494078</v>
      </c>
      <c r="K209">
        <v>0.87290194507172603</v>
      </c>
      <c r="L209">
        <v>2.1071611399917301E-2</v>
      </c>
    </row>
    <row r="210" spans="7:18" x14ac:dyDescent="0.2">
      <c r="G210">
        <v>33</v>
      </c>
      <c r="H210" t="s">
        <v>32</v>
      </c>
      <c r="I210">
        <v>-0.81831778876433103</v>
      </c>
      <c r="J210">
        <v>8.6405931228489802E-2</v>
      </c>
      <c r="K210">
        <v>0.79917758225963498</v>
      </c>
      <c r="L210">
        <v>2.3405704437262101E-2</v>
      </c>
      <c r="P210" t="s">
        <v>46</v>
      </c>
      <c r="Q210">
        <v>-0.19781826410842401</v>
      </c>
      <c r="R210">
        <v>7.0016023637923697E-2</v>
      </c>
    </row>
    <row r="211" spans="7:18" x14ac:dyDescent="0.2">
      <c r="G211">
        <v>53</v>
      </c>
      <c r="H211" t="s">
        <v>37</v>
      </c>
      <c r="I211">
        <v>-9.4568073277017703E-2</v>
      </c>
      <c r="J211">
        <v>0.110875457509488</v>
      </c>
      <c r="K211">
        <v>0.53981865446314603</v>
      </c>
      <c r="L211">
        <v>4.6487372470709401E-2</v>
      </c>
      <c r="P211" t="s">
        <v>45</v>
      </c>
      <c r="Q211">
        <v>0.115092555135117</v>
      </c>
      <c r="R211">
        <v>0.199891784790137</v>
      </c>
    </row>
    <row r="212" spans="7:18" x14ac:dyDescent="0.2">
      <c r="G212">
        <v>53</v>
      </c>
      <c r="H212" t="s">
        <v>37</v>
      </c>
      <c r="I212">
        <v>-0.149659397576867</v>
      </c>
      <c r="J212">
        <v>3.3785061080202503E-2</v>
      </c>
      <c r="K212">
        <v>0.56281539023326499</v>
      </c>
      <c r="L212">
        <v>1.40306637051312E-2</v>
      </c>
    </row>
    <row r="214" spans="7:18" x14ac:dyDescent="0.2">
      <c r="H214" t="s">
        <v>32</v>
      </c>
      <c r="I214">
        <f>AVERAGE(I209:I210)</f>
        <v>-0.97997795974616553</v>
      </c>
      <c r="J214">
        <f t="shared" ref="J214:L214" si="6">AVERAGE(J209:J210)</f>
        <v>9.9468274861283901E-2</v>
      </c>
      <c r="K214">
        <f t="shared" si="6"/>
        <v>0.83603976366568045</v>
      </c>
      <c r="L214">
        <f t="shared" si="6"/>
        <v>2.2238657918589699E-2</v>
      </c>
    </row>
    <row r="215" spans="7:18" x14ac:dyDescent="0.2">
      <c r="H215" t="s">
        <v>37</v>
      </c>
      <c r="I215">
        <f>AVERAGE(I211:I212)</f>
        <v>-0.12211373542694234</v>
      </c>
      <c r="J215">
        <f t="shared" ref="J215:L215" si="7">AVERAGE(J211:J212)</f>
        <v>7.2330259294845253E-2</v>
      </c>
      <c r="K215">
        <f t="shared" si="7"/>
        <v>0.55131702234820557</v>
      </c>
      <c r="L215">
        <f t="shared" si="7"/>
        <v>3.0259018087920302E-2</v>
      </c>
    </row>
  </sheetData>
  <autoFilter ref="A1:L164" xr:uid="{96916EBD-6839-C449-ABF4-8D0265B1AF8E}">
    <filterColumn colId="0">
      <filters>
        <filter val="24"/>
      </filters>
    </filterColumn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B643-34C8-524D-B42D-5631B7F521C9}">
  <dimension ref="A1:I31"/>
  <sheetViews>
    <sheetView workbookViewId="0">
      <selection activeCell="P37" sqref="P37"/>
    </sheetView>
  </sheetViews>
  <sheetFormatPr baseColWidth="10" defaultRowHeight="16" x14ac:dyDescent="0.2"/>
  <sheetData>
    <row r="1" spans="1:9" x14ac:dyDescent="0.2">
      <c r="A1" t="s">
        <v>20</v>
      </c>
      <c r="B1" t="s">
        <v>40</v>
      </c>
      <c r="C1" t="s">
        <v>41</v>
      </c>
      <c r="D1" t="s">
        <v>44</v>
      </c>
      <c r="G1" t="s">
        <v>19</v>
      </c>
      <c r="H1" t="s">
        <v>20</v>
      </c>
      <c r="I1" t="s">
        <v>21</v>
      </c>
    </row>
    <row r="3" spans="1:9" x14ac:dyDescent="0.2">
      <c r="A3" t="s">
        <v>12</v>
      </c>
      <c r="B3">
        <v>0.86054045788106903</v>
      </c>
      <c r="C3">
        <v>3.2854907377899999E-2</v>
      </c>
      <c r="D3">
        <f>(B3-$B$10)/($B$9-$B$10)</f>
        <v>0.86257035222460077</v>
      </c>
      <c r="E3">
        <v>1</v>
      </c>
      <c r="F3" t="s">
        <v>12</v>
      </c>
      <c r="G3">
        <v>0.78793983756775576</v>
      </c>
      <c r="H3">
        <v>0.86257035222460077</v>
      </c>
      <c r="I3">
        <v>0.53364223959821033</v>
      </c>
    </row>
    <row r="4" spans="1:9" x14ac:dyDescent="0.2">
      <c r="A4" t="s">
        <v>39</v>
      </c>
      <c r="B4">
        <v>0.91920416792171156</v>
      </c>
      <c r="C4">
        <v>5.3036147231395527E-2</v>
      </c>
      <c r="D4">
        <f t="shared" ref="D4:D7" si="0">(B4-$B$10)/($B$9-$B$10)</f>
        <v>0.95457995768512771</v>
      </c>
      <c r="E4">
        <v>2</v>
      </c>
      <c r="F4" t="s">
        <v>39</v>
      </c>
      <c r="G4">
        <v>0.87926524270085826</v>
      </c>
      <c r="H4">
        <v>0.95457995768512771</v>
      </c>
      <c r="I4">
        <v>1.1518214013094077</v>
      </c>
    </row>
    <row r="5" spans="1:9" x14ac:dyDescent="0.2">
      <c r="A5" t="s">
        <v>35</v>
      </c>
      <c r="B5">
        <v>0.94816318996138849</v>
      </c>
      <c r="C5">
        <v>7.24108312320592E-2</v>
      </c>
      <c r="D5">
        <f t="shared" si="0"/>
        <v>1</v>
      </c>
      <c r="E5">
        <v>3</v>
      </c>
      <c r="F5" t="s">
        <v>35</v>
      </c>
      <c r="G5">
        <v>1</v>
      </c>
      <c r="H5">
        <v>1</v>
      </c>
      <c r="I5">
        <v>1</v>
      </c>
    </row>
    <row r="6" spans="1:9" x14ac:dyDescent="0.2">
      <c r="A6" t="s">
        <v>36</v>
      </c>
      <c r="B6">
        <v>0.80243598310270803</v>
      </c>
      <c r="C6">
        <v>3.3312418117962608E-2</v>
      </c>
      <c r="D6">
        <f t="shared" si="0"/>
        <v>0.77143786510190981</v>
      </c>
      <c r="E6">
        <v>4</v>
      </c>
      <c r="F6" t="s">
        <v>36</v>
      </c>
      <c r="G6">
        <v>0.76687459503079514</v>
      </c>
      <c r="H6">
        <v>0.77143786510190981</v>
      </c>
      <c r="I6">
        <v>2.292156673596335</v>
      </c>
    </row>
    <row r="7" spans="1:9" x14ac:dyDescent="0.2">
      <c r="A7" t="s">
        <v>37</v>
      </c>
      <c r="B7">
        <v>0.39091612516968249</v>
      </c>
      <c r="C7">
        <v>2.9351973564424368E-2</v>
      </c>
      <c r="D7">
        <f t="shared" si="0"/>
        <v>0.126</v>
      </c>
      <c r="E7">
        <v>5</v>
      </c>
      <c r="F7" t="s">
        <v>37</v>
      </c>
      <c r="G7">
        <v>0.126</v>
      </c>
      <c r="H7">
        <v>0.126</v>
      </c>
      <c r="I7">
        <v>0.12599999999999978</v>
      </c>
    </row>
    <row r="8" spans="1:9" x14ac:dyDescent="0.2">
      <c r="A8" t="s">
        <v>47</v>
      </c>
      <c r="D8">
        <v>0.996</v>
      </c>
    </row>
    <row r="9" spans="1:9" x14ac:dyDescent="0.2">
      <c r="A9" t="s">
        <v>42</v>
      </c>
      <c r="B9">
        <f>B5</f>
        <v>0.94816318996138849</v>
      </c>
    </row>
    <row r="10" spans="1:9" x14ac:dyDescent="0.2">
      <c r="A10" t="s">
        <v>43</v>
      </c>
      <c r="B10">
        <f>(B7-(0.126*B5)) / 0.874</f>
        <v>0.31058073596630154</v>
      </c>
    </row>
    <row r="12" spans="1:9" x14ac:dyDescent="0.2">
      <c r="A12" t="s">
        <v>19</v>
      </c>
      <c r="B12" t="s">
        <v>40</v>
      </c>
      <c r="C12" t="s">
        <v>41</v>
      </c>
      <c r="D12" t="s">
        <v>44</v>
      </c>
    </row>
    <row r="14" spans="1:9" x14ac:dyDescent="0.2">
      <c r="A14" t="s">
        <v>12</v>
      </c>
      <c r="B14">
        <v>0.185215108827084</v>
      </c>
      <c r="C14">
        <v>1.4682028641568855E-2</v>
      </c>
      <c r="D14">
        <f>(B14-$B$21)/($B$20-$B$21)</f>
        <v>0.78793983756775576</v>
      </c>
    </row>
    <row r="15" spans="1:9" x14ac:dyDescent="0.2">
      <c r="A15" t="s">
        <v>39</v>
      </c>
      <c r="B15">
        <v>0.198241325028788</v>
      </c>
      <c r="C15">
        <v>1.2563562641000506E-2</v>
      </c>
      <c r="D15">
        <f t="shared" ref="D15:D18" si="1">(B15-$B$21)/($B$20-$B$21)</f>
        <v>0.87926524270085826</v>
      </c>
    </row>
    <row r="16" spans="1:9" x14ac:dyDescent="0.2">
      <c r="A16" t="s">
        <v>35</v>
      </c>
      <c r="B16">
        <v>0.21546234966423</v>
      </c>
      <c r="C16">
        <v>9.2667014965468354E-3</v>
      </c>
      <c r="D16">
        <f t="shared" si="1"/>
        <v>1</v>
      </c>
    </row>
    <row r="17" spans="1:4" x14ac:dyDescent="0.2">
      <c r="A17" t="s">
        <v>36</v>
      </c>
      <c r="B17">
        <v>0.18221046402722951</v>
      </c>
      <c r="C17">
        <v>1.2490129575237848E-2</v>
      </c>
      <c r="D17">
        <f t="shared" si="1"/>
        <v>0.76687459503079514</v>
      </c>
    </row>
    <row r="18" spans="1:4" x14ac:dyDescent="0.2">
      <c r="A18" t="s">
        <v>37</v>
      </c>
      <c r="B18">
        <v>9.0799196583262909E-2</v>
      </c>
      <c r="C18">
        <v>1.6587689205879393E-2</v>
      </c>
      <c r="D18">
        <f t="shared" si="1"/>
        <v>0.126</v>
      </c>
    </row>
    <row r="19" spans="1:4" x14ac:dyDescent="0.2">
      <c r="A19" t="s">
        <v>47</v>
      </c>
      <c r="D19">
        <v>0.996</v>
      </c>
    </row>
    <row r="20" spans="1:4" x14ac:dyDescent="0.2">
      <c r="A20" t="s">
        <v>42</v>
      </c>
      <c r="B20">
        <f>B16</f>
        <v>0.21546234966423</v>
      </c>
    </row>
    <row r="21" spans="1:4" x14ac:dyDescent="0.2">
      <c r="A21" t="s">
        <v>43</v>
      </c>
      <c r="B21">
        <f>(B18-(0.126*B16)) / 0.874</f>
        <v>7.2827163072734472E-2</v>
      </c>
    </row>
    <row r="23" spans="1:4" x14ac:dyDescent="0.2">
      <c r="A23" t="s">
        <v>21</v>
      </c>
      <c r="B23" t="s">
        <v>40</v>
      </c>
      <c r="C23" t="s">
        <v>41</v>
      </c>
      <c r="D23" t="s">
        <v>44</v>
      </c>
    </row>
    <row r="24" spans="1:4" x14ac:dyDescent="0.2">
      <c r="A24" t="s">
        <v>12</v>
      </c>
      <c r="B24">
        <v>5.4162539396382998E-2</v>
      </c>
      <c r="C24">
        <v>7.4802313672506296E-3</v>
      </c>
      <c r="D24">
        <f>(B24-$B$31)/($B$30-$B$31)</f>
        <v>0.23281228798419762</v>
      </c>
    </row>
    <row r="25" spans="1:4" x14ac:dyDescent="0.2">
      <c r="A25" t="s">
        <v>39</v>
      </c>
      <c r="B25">
        <v>4.5184348657415899E-2</v>
      </c>
      <c r="C25">
        <v>5.5330985553457487E-3</v>
      </c>
      <c r="D25">
        <f t="shared" ref="D25:D28" si="2">(B25-$B$31)/($B$30-$B$31)</f>
        <v>0.50250552877881138</v>
      </c>
    </row>
    <row r="26" spans="1:4" x14ac:dyDescent="0.2">
      <c r="A26" t="s">
        <v>35</v>
      </c>
      <c r="B26">
        <v>4.7389342910926405E-2</v>
      </c>
      <c r="C26">
        <v>8.6258991435299113E-3</v>
      </c>
      <c r="D26">
        <f t="shared" si="2"/>
        <v>0.43627035251086294</v>
      </c>
    </row>
    <row r="27" spans="1:4" x14ac:dyDescent="0.2">
      <c r="A27" t="s">
        <v>36</v>
      </c>
      <c r="B27">
        <v>2.8622568165457E-2</v>
      </c>
      <c r="C27">
        <v>2.356711264219321E-3</v>
      </c>
      <c r="D27">
        <f t="shared" si="2"/>
        <v>1</v>
      </c>
    </row>
    <row r="28" spans="1:4" x14ac:dyDescent="0.2">
      <c r="A28" t="s">
        <v>37</v>
      </c>
      <c r="B28">
        <v>6.0082974776704504E-2</v>
      </c>
      <c r="C28">
        <v>5.2059955186164837E-3</v>
      </c>
      <c r="D28">
        <f t="shared" si="2"/>
        <v>5.4970064416368633E-2</v>
      </c>
    </row>
    <row r="29" spans="1:4" x14ac:dyDescent="0.2">
      <c r="A29" t="s">
        <v>47</v>
      </c>
      <c r="D29">
        <v>0.996</v>
      </c>
    </row>
    <row r="30" spans="1:4" x14ac:dyDescent="0.2">
      <c r="A30" t="s">
        <v>42</v>
      </c>
      <c r="B30">
        <f>B27</f>
        <v>2.8622568165457E-2</v>
      </c>
    </row>
    <row r="31" spans="1:4" x14ac:dyDescent="0.2">
      <c r="A31" t="s">
        <v>43</v>
      </c>
      <c r="B31">
        <f>(B28-(0.126*B26)) / 0.874</f>
        <v>6.1912949164677086E-2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hiv_calc_dG_manual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2025-09-10T19:39:21Z</dcterms:created>
  <dcterms:modified xsi:type="dcterms:W3CDTF">2025-11-05T03:34:25Z</dcterms:modified>
</cp:coreProperties>
</file>