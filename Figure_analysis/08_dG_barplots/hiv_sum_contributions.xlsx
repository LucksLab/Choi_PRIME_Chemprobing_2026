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Lucks_Lab_Papers/In_Progress/88_EKC_Probing_model/Manuscript/Data_elements/08_dG_barplots/"/>
    </mc:Choice>
  </mc:AlternateContent>
  <xr:revisionPtr revIDLastSave="0" documentId="8_{F478F07B-0BD0-6240-8E78-0679D41123CE}" xr6:coauthVersionLast="47" xr6:coauthVersionMax="47" xr10:uidLastSave="{00000000-0000-0000-0000-000000000000}"/>
  <bookViews>
    <workbookView xWindow="1080" yWindow="1060" windowWidth="27640" windowHeight="16940" xr2:uid="{4E612E95-F289-FC4D-A6F3-5E6832A0D297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12" i="1" s="1"/>
  <c r="C8" i="1"/>
  <c r="C12" i="1" s="1"/>
  <c r="B7" i="1"/>
  <c r="B6" i="1"/>
  <c r="B8" i="1" s="1"/>
  <c r="B12" i="1" s="1"/>
  <c r="E12" i="1" s="1"/>
  <c r="D4" i="1"/>
  <c r="D11" i="1" s="1"/>
  <c r="B4" i="1"/>
  <c r="B11" i="1" s="1"/>
  <c r="C3" i="1"/>
  <c r="C4" i="1" s="1"/>
  <c r="C11" i="1" s="1"/>
  <c r="B3" i="1"/>
  <c r="C2" i="1"/>
  <c r="B2" i="1"/>
  <c r="E11" i="1" l="1"/>
</calcChain>
</file>

<file path=xl/sharedStrings.xml><?xml version="1.0" encoding="utf-8"?>
<sst xmlns="http://schemas.openxmlformats.org/spreadsheetml/2006/main" count="20" uniqueCount="13">
  <si>
    <t>A35G</t>
  </si>
  <si>
    <t>GS</t>
  </si>
  <si>
    <t>ES2</t>
  </si>
  <si>
    <t>rep1</t>
  </si>
  <si>
    <t>rep2</t>
  </si>
  <si>
    <t>ave</t>
  </si>
  <si>
    <t>C30U</t>
  </si>
  <si>
    <t xml:space="preserve">calc WT </t>
  </si>
  <si>
    <t>ES1_contrib</t>
  </si>
  <si>
    <t>GS_contrib</t>
  </si>
  <si>
    <t>ES2_contrib</t>
  </si>
  <si>
    <t>WT (reconstituted)</t>
  </si>
  <si>
    <t>WT(measured)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</si>
</sst>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dricchoi/LucksLab%20Dropbox/LucksLab/Lucks_Lab_Papers/In_Progress/88_EKC_Probing_model/Manuscript/Data_elements/08_dG_barplots/hiv_calc_dG.csv" TargetMode="External"/><Relationship Id="rId1" Type="http://schemas.openxmlformats.org/officeDocument/2006/relationships/externalLinkPath" Target="hiv_calc_d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v_calc_dG"/>
    </sheetNames>
    <sheetDataSet>
      <sheetData sheetId="0">
        <row r="71">
          <cell r="R71">
            <v>-1.74349694152489</v>
          </cell>
        </row>
        <row r="72">
          <cell r="R72">
            <v>-1.22965875136213</v>
          </cell>
        </row>
        <row r="118">
          <cell r="R118">
            <v>-1.7377535994390001</v>
          </cell>
        </row>
        <row r="119">
          <cell r="R119">
            <v>-1.7066399561536001</v>
          </cell>
        </row>
        <row r="164">
          <cell r="R164">
            <v>-0.93740981912828802</v>
          </cell>
        </row>
        <row r="165">
          <cell r="R165">
            <v>-0.733989999149115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FF95-20BA-B04D-A6A2-2AFC4F29AA9B}">
  <dimension ref="A1:F12"/>
  <sheetViews>
    <sheetView tabSelected="1" workbookViewId="0">
      <selection activeCell="C8" sqref="C8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</row>
    <row r="2" spans="1:6" x14ac:dyDescent="0.2">
      <c r="A2" t="s">
        <v>3</v>
      </c>
      <c r="B2">
        <f>[1]hiv_calc_dG!R118</f>
        <v>-1.7377535994390001</v>
      </c>
      <c r="C2">
        <f>[1]hiv_calc_dG!R71</f>
        <v>-1.74349694152489</v>
      </c>
      <c r="D2">
        <v>0.24201856654722001</v>
      </c>
    </row>
    <row r="3" spans="1:6" x14ac:dyDescent="0.2">
      <c r="A3" t="s">
        <v>4</v>
      </c>
      <c r="B3">
        <f>[1]hiv_calc_dG!R119</f>
        <v>-1.7066399561536001</v>
      </c>
      <c r="C3">
        <f>[1]hiv_calc_dG!R72</f>
        <v>-1.22965875136213</v>
      </c>
      <c r="D3">
        <v>0.28363111201382901</v>
      </c>
    </row>
    <row r="4" spans="1:6" x14ac:dyDescent="0.2">
      <c r="A4" t="s">
        <v>5</v>
      </c>
      <c r="B4">
        <f>AVERAGE(B2:B3)</f>
        <v>-1.7221967777963001</v>
      </c>
      <c r="C4">
        <f>AVERAGE(C2:C3)</f>
        <v>-1.48657784644351</v>
      </c>
      <c r="D4">
        <f>AVERAGE(D2:D3)</f>
        <v>0.26282483928052452</v>
      </c>
    </row>
    <row r="5" spans="1:6" x14ac:dyDescent="0.2">
      <c r="B5" t="s">
        <v>6</v>
      </c>
      <c r="C5" t="s">
        <v>1</v>
      </c>
      <c r="D5" t="s">
        <v>2</v>
      </c>
    </row>
    <row r="6" spans="1:6" x14ac:dyDescent="0.2">
      <c r="A6" t="s">
        <v>3</v>
      </c>
      <c r="B6">
        <f>[1]hiv_calc_dG!R164</f>
        <v>-0.93740981912828802</v>
      </c>
      <c r="C6">
        <v>-1.74349694152489</v>
      </c>
      <c r="D6">
        <v>0.24201856654722001</v>
      </c>
    </row>
    <row r="7" spans="1:6" x14ac:dyDescent="0.2">
      <c r="A7" t="s">
        <v>4</v>
      </c>
      <c r="B7">
        <f>[1]hiv_calc_dG!R165</f>
        <v>-0.733989999149115</v>
      </c>
      <c r="C7">
        <v>-1.22965875136213</v>
      </c>
      <c r="D7">
        <v>0.28363111201382901</v>
      </c>
    </row>
    <row r="8" spans="1:6" x14ac:dyDescent="0.2">
      <c r="A8" t="s">
        <v>5</v>
      </c>
      <c r="B8">
        <f>AVERAGE(B6:B7)</f>
        <v>-0.83569990913870151</v>
      </c>
      <c r="C8">
        <f>AVERAGE(C6:C7)</f>
        <v>-1.48657784644351</v>
      </c>
      <c r="D8">
        <f>AVERAGE(D6:D7)</f>
        <v>0.26282483928052452</v>
      </c>
    </row>
    <row r="9" spans="1:6" x14ac:dyDescent="0.2">
      <c r="A9" t="s">
        <v>7</v>
      </c>
    </row>
    <row r="10" spans="1:6" x14ac:dyDescent="0.2"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</row>
    <row r="11" spans="1:6" x14ac:dyDescent="0.2">
      <c r="A11" t="s">
        <v>0</v>
      </c>
      <c r="B11">
        <f>B4*0.866</f>
        <v>-1.4914224095715958</v>
      </c>
      <c r="C11">
        <f>C4*0.13</f>
        <v>-0.1932551200376563</v>
      </c>
      <c r="D11">
        <f>D4*0.004</f>
        <v>1.0512993571220981E-3</v>
      </c>
      <c r="E11" s="1">
        <f>SUM(B11:D11)</f>
        <v>-1.6836262302521299</v>
      </c>
      <c r="F11" s="1">
        <v>-1.07819587163165</v>
      </c>
    </row>
    <row r="12" spans="1:6" x14ac:dyDescent="0.2">
      <c r="A12" t="s">
        <v>6</v>
      </c>
      <c r="B12">
        <f>B8*0.866</f>
        <v>-0.72371612131411556</v>
      </c>
      <c r="C12">
        <f>C8*0.13</f>
        <v>-0.1932551200376563</v>
      </c>
      <c r="D12">
        <f>D8*0.004</f>
        <v>1.0512993571220981E-3</v>
      </c>
      <c r="E12" s="1">
        <f>SUM(B12:D12)</f>
        <v>-0.91591994199464977</v>
      </c>
      <c r="F12" s="1">
        <v>-1.07819587163165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2025-05-29T20:50:05Z</dcterms:created>
  <dcterms:modified xsi:type="dcterms:W3CDTF">2025-05-29T20:50:44Z</dcterms:modified>
</cp:coreProperties>
</file>