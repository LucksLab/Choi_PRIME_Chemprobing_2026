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Dropbox (LucksLab)/LucksLab/Group_Members/EKC/Projects/EKC.01_SHAPE_Standardization/Experiments/EKC.01.047.NMR_NTP_adduction_kinetics/02_nanodrop/"/>
    </mc:Choice>
  </mc:AlternateContent>
  <xr:revisionPtr revIDLastSave="0" documentId="13_ncr:1_{ED95973B-D051-E243-B7CE-A51F5FBE26E9}" xr6:coauthVersionLast="47" xr6:coauthVersionMax="47" xr10:uidLastSave="{00000000-0000-0000-0000-000000000000}"/>
  <bookViews>
    <workbookView xWindow="1240" yWindow="500" windowWidth="27640" windowHeight="15780" xr2:uid="{FE470D9B-CA45-484B-B705-100499427E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6" i="1" l="1"/>
  <c r="C46" i="1"/>
  <c r="I46" i="1"/>
  <c r="O46" i="1"/>
  <c r="X13" i="1"/>
  <c r="U48" i="1"/>
  <c r="O48" i="1"/>
  <c r="I48" i="1"/>
  <c r="C48" i="1"/>
  <c r="U41" i="1" a="1"/>
  <c r="V43" i="1" s="1"/>
  <c r="O41" i="1" a="1"/>
  <c r="P43" i="1" s="1"/>
  <c r="I41" i="1" a="1"/>
  <c r="J43" i="1" s="1"/>
  <c r="C41" i="1" a="1"/>
  <c r="C41" i="1" s="1"/>
  <c r="U41" i="1" l="1"/>
  <c r="U42" i="1"/>
  <c r="U43" i="1"/>
  <c r="V41" i="1"/>
  <c r="V42" i="1"/>
  <c r="O41" i="1"/>
  <c r="O47" i="1" s="1"/>
  <c r="O50" i="1" s="1"/>
  <c r="O51" i="1" s="1"/>
  <c r="O42" i="1"/>
  <c r="P42" i="1"/>
  <c r="O43" i="1"/>
  <c r="P41" i="1"/>
  <c r="I41" i="1"/>
  <c r="J41" i="1"/>
  <c r="I42" i="1"/>
  <c r="J42" i="1"/>
  <c r="I43" i="1"/>
  <c r="D43" i="1"/>
  <c r="C43" i="1"/>
  <c r="D42" i="1"/>
  <c r="C42" i="1"/>
  <c r="D41" i="1"/>
  <c r="C47" i="1" s="1"/>
  <c r="C50" i="1" s="1"/>
  <c r="C51" i="1" s="1"/>
  <c r="I47" i="1" l="1"/>
  <c r="I50" i="1" s="1"/>
  <c r="I51" i="1" s="1"/>
  <c r="U47" i="1"/>
  <c r="U50" i="1" s="1"/>
  <c r="U51" i="1" s="1"/>
</calcChain>
</file>

<file path=xl/sharedStrings.xml><?xml version="1.0" encoding="utf-8"?>
<sst xmlns="http://schemas.openxmlformats.org/spreadsheetml/2006/main" count="146" uniqueCount="31">
  <si>
    <t>A</t>
  </si>
  <si>
    <t>G</t>
  </si>
  <si>
    <t>C</t>
  </si>
  <si>
    <t>U</t>
  </si>
  <si>
    <t>260 nm</t>
  </si>
  <si>
    <t>261 nm</t>
  </si>
  <si>
    <t>258 nm</t>
  </si>
  <si>
    <t>253 nm</t>
  </si>
  <si>
    <t>265 nm</t>
  </si>
  <si>
    <t>262 nm</t>
  </si>
  <si>
    <t>263 nm</t>
  </si>
  <si>
    <t>257 nm</t>
  </si>
  <si>
    <t>252 nm</t>
  </si>
  <si>
    <t>Excluded data</t>
  </si>
  <si>
    <t>1/6 dilution</t>
  </si>
  <si>
    <t>Reason</t>
  </si>
  <si>
    <t>m</t>
  </si>
  <si>
    <t>R2</t>
  </si>
  <si>
    <t>b</t>
  </si>
  <si>
    <t>Absorbance</t>
  </si>
  <si>
    <t>Extrapolate to dilution = 1</t>
  </si>
  <si>
    <t>Path Length (cm)</t>
  </si>
  <si>
    <t>Base</t>
  </si>
  <si>
    <t>Wavelength (nm)</t>
  </si>
  <si>
    <t>T</t>
  </si>
  <si>
    <t>Extinction Coefficient (E)(M-1cm-1)</t>
  </si>
  <si>
    <t>(from CSH protocol)</t>
  </si>
  <si>
    <t>Concentration</t>
  </si>
  <si>
    <t>(in mM)</t>
  </si>
  <si>
    <t>Wavelength</t>
  </si>
  <si>
    <t>Max 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</si>
</sst>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842082239720041E-2"/>
                  <c:y val="0.408310367454068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Sheet1!$C$3:$C$12</c:f>
              <c:numCache>
                <c:formatCode>General</c:formatCode>
                <c:ptCount val="10"/>
                <c:pt idx="0">
                  <c:v>0.05</c:v>
                </c:pt>
                <c:pt idx="1">
                  <c:v>2.5000000000000001E-2</c:v>
                </c:pt>
                <c:pt idx="2">
                  <c:v>0.01</c:v>
                </c:pt>
                <c:pt idx="3">
                  <c:v>5.0000000000000001E-3</c:v>
                </c:pt>
                <c:pt idx="4">
                  <c:v>2.5000000000000001E-3</c:v>
                </c:pt>
                <c:pt idx="5">
                  <c:v>5.0000000000000001E-3</c:v>
                </c:pt>
                <c:pt idx="6">
                  <c:v>2.5000000000000001E-3</c:v>
                </c:pt>
                <c:pt idx="7">
                  <c:v>1E-3</c:v>
                </c:pt>
                <c:pt idx="8">
                  <c:v>5.0000000000000001E-4</c:v>
                </c:pt>
                <c:pt idx="9">
                  <c:v>2.5000000000000001E-4</c:v>
                </c:pt>
              </c:numCache>
            </c:numRef>
          </c:xVal>
          <c:yVal>
            <c:numRef>
              <c:f>Sheet1!$D$3:$D$12</c:f>
              <c:numCache>
                <c:formatCode>General</c:formatCode>
                <c:ptCount val="10"/>
                <c:pt idx="0">
                  <c:v>124.95</c:v>
                </c:pt>
                <c:pt idx="1">
                  <c:v>60.31</c:v>
                </c:pt>
                <c:pt idx="2">
                  <c:v>32.01</c:v>
                </c:pt>
                <c:pt idx="3">
                  <c:v>16.72</c:v>
                </c:pt>
                <c:pt idx="4">
                  <c:v>8.3000000000000007</c:v>
                </c:pt>
                <c:pt idx="5">
                  <c:v>11.72</c:v>
                </c:pt>
                <c:pt idx="6">
                  <c:v>6.54</c:v>
                </c:pt>
                <c:pt idx="7">
                  <c:v>3</c:v>
                </c:pt>
                <c:pt idx="8">
                  <c:v>1.56</c:v>
                </c:pt>
                <c:pt idx="9">
                  <c:v>0.88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05-434E-A98F-C7F96EF5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517424"/>
        <c:axId val="441519136"/>
      </c:scatterChart>
      <c:valAx>
        <c:axId val="44151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Dilution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9136"/>
        <c:crosses val="autoZero"/>
        <c:crossBetween val="midCat"/>
      </c:valAx>
      <c:valAx>
        <c:axId val="441519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Max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7424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GTP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24948964712744"/>
                  <c:y val="0.403680737824438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Sheet1!$I$3:$I$12</c:f>
              <c:numCache>
                <c:formatCode>General</c:formatCode>
                <c:ptCount val="10"/>
                <c:pt idx="0">
                  <c:v>0.05</c:v>
                </c:pt>
                <c:pt idx="1">
                  <c:v>2.5000000000000001E-2</c:v>
                </c:pt>
                <c:pt idx="2">
                  <c:v>0.01</c:v>
                </c:pt>
                <c:pt idx="3">
                  <c:v>5.0000000000000001E-3</c:v>
                </c:pt>
                <c:pt idx="4">
                  <c:v>2.5000000000000001E-3</c:v>
                </c:pt>
                <c:pt idx="5">
                  <c:v>5.0000000000000001E-3</c:v>
                </c:pt>
                <c:pt idx="6">
                  <c:v>2.5000000000000001E-3</c:v>
                </c:pt>
                <c:pt idx="7">
                  <c:v>1E-3</c:v>
                </c:pt>
                <c:pt idx="8">
                  <c:v>5.0000000000000001E-4</c:v>
                </c:pt>
                <c:pt idx="9">
                  <c:v>2.5000000000000001E-4</c:v>
                </c:pt>
              </c:numCache>
            </c:numRef>
          </c:xVal>
          <c:yVal>
            <c:numRef>
              <c:f>Sheet1!$J$3:$J$12</c:f>
              <c:numCache>
                <c:formatCode>General</c:formatCode>
                <c:ptCount val="10"/>
                <c:pt idx="0">
                  <c:v>86.22</c:v>
                </c:pt>
                <c:pt idx="1">
                  <c:v>43.71</c:v>
                </c:pt>
                <c:pt idx="2">
                  <c:v>18.010000000000002</c:v>
                </c:pt>
                <c:pt idx="3">
                  <c:v>9.57</c:v>
                </c:pt>
                <c:pt idx="4">
                  <c:v>5.19</c:v>
                </c:pt>
                <c:pt idx="5">
                  <c:v>11.04</c:v>
                </c:pt>
                <c:pt idx="6">
                  <c:v>4.9800000000000004</c:v>
                </c:pt>
                <c:pt idx="7">
                  <c:v>2</c:v>
                </c:pt>
                <c:pt idx="8">
                  <c:v>1.1599999999999999</c:v>
                </c:pt>
                <c:pt idx="9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DB-A048-8024-373C28CA8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517424"/>
        <c:axId val="441519136"/>
      </c:scatterChart>
      <c:valAx>
        <c:axId val="44151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Dilution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9136"/>
        <c:crosses val="autoZero"/>
        <c:crossBetween val="midCat"/>
      </c:valAx>
      <c:valAx>
        <c:axId val="441519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Max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7424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662146398366873E-2"/>
                  <c:y val="0.410240594925634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Sheet1!$O$3:$O$12</c:f>
              <c:numCache>
                <c:formatCode>General</c:formatCode>
                <c:ptCount val="10"/>
                <c:pt idx="0">
                  <c:v>0.05</c:v>
                </c:pt>
                <c:pt idx="1">
                  <c:v>2.5000000000000001E-2</c:v>
                </c:pt>
                <c:pt idx="2">
                  <c:v>0.01</c:v>
                </c:pt>
                <c:pt idx="3">
                  <c:v>5.0000000000000001E-3</c:v>
                </c:pt>
                <c:pt idx="4">
                  <c:v>2.5000000000000001E-3</c:v>
                </c:pt>
                <c:pt idx="5">
                  <c:v>5.0000000000000001E-3</c:v>
                </c:pt>
                <c:pt idx="6">
                  <c:v>2.5000000000000001E-3</c:v>
                </c:pt>
                <c:pt idx="7">
                  <c:v>1E-3</c:v>
                </c:pt>
                <c:pt idx="8">
                  <c:v>5.0000000000000001E-4</c:v>
                </c:pt>
                <c:pt idx="9">
                  <c:v>2.5000000000000001E-4</c:v>
                </c:pt>
              </c:numCache>
            </c:numRef>
          </c:xVal>
          <c:yVal>
            <c:numRef>
              <c:f>Sheet1!$P$3:$P$12</c:f>
              <c:numCache>
                <c:formatCode>General</c:formatCode>
                <c:ptCount val="10"/>
                <c:pt idx="0">
                  <c:v>67.72</c:v>
                </c:pt>
                <c:pt idx="1">
                  <c:v>33.11</c:v>
                </c:pt>
                <c:pt idx="2">
                  <c:v>15.34</c:v>
                </c:pt>
                <c:pt idx="3">
                  <c:v>7.99</c:v>
                </c:pt>
                <c:pt idx="4">
                  <c:v>4.13</c:v>
                </c:pt>
                <c:pt idx="5">
                  <c:v>7.32</c:v>
                </c:pt>
                <c:pt idx="6">
                  <c:v>3.94</c:v>
                </c:pt>
                <c:pt idx="7">
                  <c:v>1.67</c:v>
                </c:pt>
                <c:pt idx="8">
                  <c:v>0.88</c:v>
                </c:pt>
                <c:pt idx="9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C-1D4C-A0A9-2C14F3102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517424"/>
        <c:axId val="441519136"/>
      </c:scatterChart>
      <c:valAx>
        <c:axId val="44151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Dilution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9136"/>
        <c:crosses val="autoZero"/>
        <c:crossBetween val="midCat"/>
      </c:valAx>
      <c:valAx>
        <c:axId val="441519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Max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7424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UTP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4032516768737237E-2"/>
                  <c:y val="0.408310367454068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Sheet1!$U$3:$U$12</c:f>
              <c:numCache>
                <c:formatCode>General</c:formatCode>
                <c:ptCount val="10"/>
                <c:pt idx="0">
                  <c:v>0.05</c:v>
                </c:pt>
                <c:pt idx="1">
                  <c:v>2.5000000000000001E-2</c:v>
                </c:pt>
                <c:pt idx="2">
                  <c:v>0.01</c:v>
                </c:pt>
                <c:pt idx="3">
                  <c:v>5.0000000000000001E-3</c:v>
                </c:pt>
                <c:pt idx="4">
                  <c:v>2.5000000000000001E-3</c:v>
                </c:pt>
                <c:pt idx="5">
                  <c:v>5.0000000000000001E-3</c:v>
                </c:pt>
                <c:pt idx="6">
                  <c:v>2.5000000000000001E-3</c:v>
                </c:pt>
                <c:pt idx="7">
                  <c:v>1E-3</c:v>
                </c:pt>
                <c:pt idx="8">
                  <c:v>5.0000000000000001E-4</c:v>
                </c:pt>
                <c:pt idx="9">
                  <c:v>2.5000000000000001E-4</c:v>
                </c:pt>
              </c:numCache>
            </c:numRef>
          </c:xVal>
          <c:yVal>
            <c:numRef>
              <c:f>Sheet1!$V$3:$V$12</c:f>
              <c:numCache>
                <c:formatCode>General</c:formatCode>
                <c:ptCount val="10"/>
                <c:pt idx="0">
                  <c:v>68.67</c:v>
                </c:pt>
                <c:pt idx="1">
                  <c:v>35.04</c:v>
                </c:pt>
                <c:pt idx="2">
                  <c:v>15.92</c:v>
                </c:pt>
                <c:pt idx="3">
                  <c:v>8.42</c:v>
                </c:pt>
                <c:pt idx="4">
                  <c:v>4.21</c:v>
                </c:pt>
                <c:pt idx="5">
                  <c:v>7.42</c:v>
                </c:pt>
                <c:pt idx="6">
                  <c:v>3.61</c:v>
                </c:pt>
                <c:pt idx="7">
                  <c:v>1.63</c:v>
                </c:pt>
                <c:pt idx="8">
                  <c:v>0.83</c:v>
                </c:pt>
                <c:pt idx="9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77-E442-BC8D-4CDF22444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517424"/>
        <c:axId val="441519136"/>
      </c:scatterChart>
      <c:valAx>
        <c:axId val="44151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Dilution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9136"/>
        <c:crosses val="autoZero"/>
        <c:crossBetween val="midCat"/>
      </c:valAx>
      <c:valAx>
        <c:axId val="441519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Max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7424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4</xdr:col>
      <xdr:colOff>266700</xdr:colOff>
      <xdr:row>38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37156F-FA1A-E041-B10B-779A5DC02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10</xdr:col>
      <xdr:colOff>266700</xdr:colOff>
      <xdr:row>38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6F25BE-3CF2-DC4A-9106-C138287E4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16</xdr:col>
      <xdr:colOff>266700</xdr:colOff>
      <xdr:row>38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EEF6B1-97B8-9043-B85A-AB28F3DA8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25</xdr:row>
      <xdr:rowOff>0</xdr:rowOff>
    </xdr:from>
    <xdr:to>
      <xdr:col>22</xdr:col>
      <xdr:colOff>266700</xdr:colOff>
      <xdr:row>38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C74175B-23E5-764D-98E1-B3424ABD0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DEB5-F55E-B748-B636-F2400A3CD5F4}">
  <dimension ref="A2:X59"/>
  <sheetViews>
    <sheetView tabSelected="1" topLeftCell="C19" zoomScale="75" workbookViewId="0">
      <selection activeCell="R37" sqref="R37"/>
    </sheetView>
  </sheetViews>
  <sheetFormatPr baseColWidth="10" defaultRowHeight="16" x14ac:dyDescent="0.2"/>
  <sheetData>
    <row r="2" spans="1:24" x14ac:dyDescent="0.2">
      <c r="F2" t="s">
        <v>29</v>
      </c>
      <c r="L2" t="s">
        <v>29</v>
      </c>
      <c r="R2" t="s">
        <v>29</v>
      </c>
      <c r="X2" t="s">
        <v>29</v>
      </c>
    </row>
    <row r="3" spans="1:24" x14ac:dyDescent="0.2">
      <c r="B3" t="s">
        <v>0</v>
      </c>
      <c r="C3">
        <v>0.05</v>
      </c>
      <c r="D3">
        <v>124.95</v>
      </c>
      <c r="E3">
        <v>21</v>
      </c>
      <c r="F3">
        <v>261</v>
      </c>
      <c r="H3" t="s">
        <v>1</v>
      </c>
      <c r="I3">
        <v>0.05</v>
      </c>
      <c r="J3">
        <v>86.22</v>
      </c>
      <c r="K3">
        <v>14</v>
      </c>
      <c r="L3">
        <v>253</v>
      </c>
      <c r="N3" t="s">
        <v>2</v>
      </c>
      <c r="O3">
        <v>0.05</v>
      </c>
      <c r="P3">
        <v>67.72</v>
      </c>
      <c r="Q3">
        <v>25</v>
      </c>
      <c r="R3">
        <v>265</v>
      </c>
      <c r="T3" t="s">
        <v>3</v>
      </c>
      <c r="U3">
        <v>0.05</v>
      </c>
      <c r="V3">
        <v>68.67</v>
      </c>
      <c r="W3">
        <v>22</v>
      </c>
      <c r="X3">
        <v>262</v>
      </c>
    </row>
    <row r="4" spans="1:24" x14ac:dyDescent="0.2">
      <c r="B4" t="s">
        <v>0</v>
      </c>
      <c r="C4">
        <v>2.5000000000000001E-2</v>
      </c>
      <c r="D4">
        <v>60.31</v>
      </c>
      <c r="E4">
        <v>20</v>
      </c>
      <c r="F4">
        <v>260</v>
      </c>
      <c r="H4" t="s">
        <v>1</v>
      </c>
      <c r="I4">
        <v>2.5000000000000001E-2</v>
      </c>
      <c r="J4">
        <v>43.71</v>
      </c>
      <c r="K4">
        <v>14</v>
      </c>
      <c r="L4">
        <v>253</v>
      </c>
      <c r="N4" t="s">
        <v>2</v>
      </c>
      <c r="O4">
        <v>2.5000000000000001E-2</v>
      </c>
      <c r="P4">
        <v>33.11</v>
      </c>
      <c r="Q4">
        <v>25</v>
      </c>
      <c r="R4">
        <v>265</v>
      </c>
      <c r="T4" t="s">
        <v>3</v>
      </c>
      <c r="U4">
        <v>2.5000000000000001E-2</v>
      </c>
      <c r="V4">
        <v>35.04</v>
      </c>
      <c r="W4">
        <v>23</v>
      </c>
      <c r="X4">
        <v>263</v>
      </c>
    </row>
    <row r="5" spans="1:24" x14ac:dyDescent="0.2">
      <c r="B5" t="s">
        <v>0</v>
      </c>
      <c r="C5">
        <v>0.01</v>
      </c>
      <c r="D5">
        <v>32.01</v>
      </c>
      <c r="E5">
        <v>18</v>
      </c>
      <c r="F5">
        <v>258</v>
      </c>
      <c r="H5" t="s">
        <v>1</v>
      </c>
      <c r="I5">
        <v>0.01</v>
      </c>
      <c r="J5">
        <v>18.010000000000002</v>
      </c>
      <c r="K5">
        <v>14</v>
      </c>
      <c r="L5">
        <v>253</v>
      </c>
      <c r="N5" t="s">
        <v>2</v>
      </c>
      <c r="O5">
        <v>0.01</v>
      </c>
      <c r="P5">
        <v>15.34</v>
      </c>
      <c r="Q5">
        <v>25</v>
      </c>
      <c r="R5">
        <v>265</v>
      </c>
      <c r="T5" t="s">
        <v>3</v>
      </c>
      <c r="U5">
        <v>0.01</v>
      </c>
      <c r="V5">
        <v>15.92</v>
      </c>
      <c r="W5">
        <v>24</v>
      </c>
      <c r="X5">
        <v>264</v>
      </c>
    </row>
    <row r="6" spans="1:24" x14ac:dyDescent="0.2">
      <c r="B6" t="s">
        <v>0</v>
      </c>
      <c r="C6">
        <v>5.0000000000000001E-3</v>
      </c>
      <c r="D6">
        <v>16.72</v>
      </c>
      <c r="E6">
        <v>18</v>
      </c>
      <c r="F6">
        <v>258</v>
      </c>
      <c r="H6" t="s">
        <v>1</v>
      </c>
      <c r="I6">
        <v>5.0000000000000001E-3</v>
      </c>
      <c r="J6">
        <v>9.57</v>
      </c>
      <c r="K6">
        <v>14</v>
      </c>
      <c r="L6">
        <v>253</v>
      </c>
      <c r="N6" t="s">
        <v>2</v>
      </c>
      <c r="O6">
        <v>5.0000000000000001E-3</v>
      </c>
      <c r="P6">
        <v>7.99</v>
      </c>
      <c r="Q6">
        <v>25</v>
      </c>
      <c r="R6">
        <v>265</v>
      </c>
      <c r="T6" t="s">
        <v>3</v>
      </c>
      <c r="U6">
        <v>5.0000000000000001E-3</v>
      </c>
      <c r="V6">
        <v>8.42</v>
      </c>
      <c r="W6">
        <v>22</v>
      </c>
      <c r="X6">
        <v>262</v>
      </c>
    </row>
    <row r="7" spans="1:24" x14ac:dyDescent="0.2">
      <c r="B7" t="s">
        <v>0</v>
      </c>
      <c r="C7">
        <v>2.5000000000000001E-3</v>
      </c>
      <c r="D7">
        <v>8.3000000000000007</v>
      </c>
      <c r="E7">
        <v>18</v>
      </c>
      <c r="F7">
        <v>258</v>
      </c>
      <c r="H7" t="s">
        <v>1</v>
      </c>
      <c r="I7">
        <v>2.5000000000000001E-3</v>
      </c>
      <c r="J7">
        <v>5.19</v>
      </c>
      <c r="K7">
        <v>12</v>
      </c>
      <c r="L7">
        <v>251</v>
      </c>
      <c r="N7" t="s">
        <v>2</v>
      </c>
      <c r="O7">
        <v>2.5000000000000001E-3</v>
      </c>
      <c r="P7">
        <v>4.13</v>
      </c>
      <c r="Q7">
        <v>25</v>
      </c>
      <c r="R7">
        <v>265</v>
      </c>
      <c r="T7" t="s">
        <v>3</v>
      </c>
      <c r="U7">
        <v>2.5000000000000001E-3</v>
      </c>
      <c r="V7">
        <v>4.21</v>
      </c>
      <c r="W7">
        <v>22</v>
      </c>
      <c r="X7">
        <v>262</v>
      </c>
    </row>
    <row r="8" spans="1:24" x14ac:dyDescent="0.2">
      <c r="B8" t="s">
        <v>0</v>
      </c>
      <c r="C8">
        <v>5.0000000000000001E-3</v>
      </c>
      <c r="D8">
        <v>11.72</v>
      </c>
      <c r="E8">
        <v>19</v>
      </c>
      <c r="F8">
        <v>259</v>
      </c>
      <c r="H8" t="s">
        <v>1</v>
      </c>
      <c r="I8">
        <v>5.0000000000000001E-3</v>
      </c>
      <c r="J8">
        <v>11.04</v>
      </c>
      <c r="K8">
        <v>14</v>
      </c>
      <c r="L8">
        <v>253</v>
      </c>
      <c r="N8" t="s">
        <v>2</v>
      </c>
      <c r="O8">
        <v>5.0000000000000001E-3</v>
      </c>
      <c r="P8">
        <v>7.32</v>
      </c>
      <c r="Q8">
        <v>25</v>
      </c>
      <c r="R8">
        <v>265</v>
      </c>
      <c r="T8" t="s">
        <v>3</v>
      </c>
      <c r="U8">
        <v>5.0000000000000001E-3</v>
      </c>
      <c r="V8">
        <v>7.42</v>
      </c>
      <c r="W8">
        <v>22</v>
      </c>
      <c r="X8">
        <v>262</v>
      </c>
    </row>
    <row r="9" spans="1:24" x14ac:dyDescent="0.2">
      <c r="B9" t="s">
        <v>0</v>
      </c>
      <c r="C9">
        <v>2.5000000000000001E-3</v>
      </c>
      <c r="D9">
        <v>6.54</v>
      </c>
      <c r="E9">
        <v>20</v>
      </c>
      <c r="F9">
        <v>260</v>
      </c>
      <c r="H9" t="s">
        <v>1</v>
      </c>
      <c r="I9">
        <v>2.5000000000000001E-3</v>
      </c>
      <c r="J9">
        <v>4.9800000000000004</v>
      </c>
      <c r="K9">
        <v>13</v>
      </c>
      <c r="L9">
        <v>252</v>
      </c>
      <c r="N9" t="s">
        <v>2</v>
      </c>
      <c r="O9">
        <v>2.5000000000000001E-3</v>
      </c>
      <c r="P9">
        <v>3.94</v>
      </c>
      <c r="Q9">
        <v>25</v>
      </c>
      <c r="R9">
        <v>265</v>
      </c>
      <c r="T9" t="s">
        <v>3</v>
      </c>
      <c r="U9">
        <v>2.5000000000000001E-3</v>
      </c>
      <c r="V9">
        <v>3.61</v>
      </c>
      <c r="W9">
        <v>22</v>
      </c>
      <c r="X9">
        <v>262</v>
      </c>
    </row>
    <row r="10" spans="1:24" x14ac:dyDescent="0.2">
      <c r="B10" t="s">
        <v>0</v>
      </c>
      <c r="C10">
        <v>1E-3</v>
      </c>
      <c r="D10">
        <v>3</v>
      </c>
      <c r="E10">
        <v>20</v>
      </c>
      <c r="F10">
        <v>260</v>
      </c>
      <c r="H10" t="s">
        <v>1</v>
      </c>
      <c r="I10">
        <v>1E-3</v>
      </c>
      <c r="J10">
        <v>2</v>
      </c>
      <c r="K10">
        <v>13</v>
      </c>
      <c r="L10">
        <v>252</v>
      </c>
      <c r="N10" t="s">
        <v>2</v>
      </c>
      <c r="O10">
        <v>1E-3</v>
      </c>
      <c r="P10">
        <v>1.67</v>
      </c>
      <c r="Q10">
        <v>25</v>
      </c>
      <c r="R10">
        <v>265</v>
      </c>
      <c r="T10" t="s">
        <v>3</v>
      </c>
      <c r="U10">
        <v>1E-3</v>
      </c>
      <c r="V10">
        <v>1.63</v>
      </c>
      <c r="W10">
        <v>21</v>
      </c>
      <c r="X10">
        <v>261</v>
      </c>
    </row>
    <row r="11" spans="1:24" x14ac:dyDescent="0.2">
      <c r="B11" t="s">
        <v>0</v>
      </c>
      <c r="C11">
        <v>5.0000000000000001E-4</v>
      </c>
      <c r="D11">
        <v>1.56</v>
      </c>
      <c r="E11">
        <v>18</v>
      </c>
      <c r="F11">
        <v>258</v>
      </c>
      <c r="H11" t="s">
        <v>1</v>
      </c>
      <c r="I11">
        <v>5.0000000000000001E-4</v>
      </c>
      <c r="J11">
        <v>1.1599999999999999</v>
      </c>
      <c r="K11">
        <v>13</v>
      </c>
      <c r="L11">
        <v>252</v>
      </c>
      <c r="N11" t="s">
        <v>2</v>
      </c>
      <c r="O11">
        <v>5.0000000000000001E-4</v>
      </c>
      <c r="P11">
        <v>0.88</v>
      </c>
      <c r="Q11">
        <v>25</v>
      </c>
      <c r="R11">
        <v>265</v>
      </c>
      <c r="T11" t="s">
        <v>3</v>
      </c>
      <c r="U11">
        <v>5.0000000000000001E-4</v>
      </c>
      <c r="V11">
        <v>0.83</v>
      </c>
      <c r="W11">
        <v>21</v>
      </c>
      <c r="X11">
        <v>261</v>
      </c>
    </row>
    <row r="12" spans="1:24" x14ac:dyDescent="0.2">
      <c r="B12" t="s">
        <v>0</v>
      </c>
      <c r="C12">
        <v>2.5000000000000001E-4</v>
      </c>
      <c r="D12">
        <v>0.88</v>
      </c>
      <c r="E12">
        <v>18</v>
      </c>
      <c r="F12">
        <v>258</v>
      </c>
      <c r="H12" t="s">
        <v>1</v>
      </c>
      <c r="I12">
        <v>2.5000000000000001E-4</v>
      </c>
      <c r="J12">
        <v>0.56999999999999995</v>
      </c>
      <c r="K12">
        <v>13</v>
      </c>
      <c r="L12">
        <v>252</v>
      </c>
      <c r="N12" t="s">
        <v>2</v>
      </c>
      <c r="O12">
        <v>2.5000000000000001E-4</v>
      </c>
      <c r="P12">
        <v>0.44</v>
      </c>
      <c r="Q12">
        <v>25</v>
      </c>
      <c r="R12">
        <v>265</v>
      </c>
      <c r="T12" t="s">
        <v>3</v>
      </c>
      <c r="U12">
        <v>2.5000000000000001E-4</v>
      </c>
      <c r="V12">
        <v>0.44</v>
      </c>
      <c r="W12">
        <v>18</v>
      </c>
      <c r="X12">
        <v>258</v>
      </c>
    </row>
    <row r="13" spans="1:24" x14ac:dyDescent="0.2">
      <c r="X13">
        <f>AVERAGE(X3:X12)</f>
        <v>261.7</v>
      </c>
    </row>
    <row r="14" spans="1:24" x14ac:dyDescent="0.2">
      <c r="A14" t="s">
        <v>15</v>
      </c>
      <c r="B14" t="s">
        <v>13</v>
      </c>
    </row>
    <row r="15" spans="1:24" x14ac:dyDescent="0.2">
      <c r="B15" t="s">
        <v>0</v>
      </c>
      <c r="C15">
        <v>0.1</v>
      </c>
      <c r="D15">
        <v>188.4</v>
      </c>
      <c r="E15">
        <v>20</v>
      </c>
      <c r="F15" t="s">
        <v>4</v>
      </c>
      <c r="H15" t="s">
        <v>1</v>
      </c>
      <c r="I15">
        <v>0.1</v>
      </c>
      <c r="J15">
        <v>117.92</v>
      </c>
      <c r="K15">
        <v>14</v>
      </c>
      <c r="L15" t="s">
        <v>7</v>
      </c>
      <c r="N15" t="s">
        <v>2</v>
      </c>
      <c r="O15">
        <v>0.1</v>
      </c>
      <c r="P15">
        <v>81.63</v>
      </c>
      <c r="Q15">
        <v>25</v>
      </c>
      <c r="R15" t="s">
        <v>8</v>
      </c>
      <c r="T15" t="s">
        <v>3</v>
      </c>
      <c r="U15">
        <v>0.1</v>
      </c>
      <c r="V15">
        <v>86.43</v>
      </c>
      <c r="W15">
        <v>22</v>
      </c>
      <c r="X15" t="s">
        <v>9</v>
      </c>
    </row>
    <row r="16" spans="1:24" x14ac:dyDescent="0.2">
      <c r="A16" t="s">
        <v>14</v>
      </c>
      <c r="B16" t="s">
        <v>0</v>
      </c>
      <c r="C16">
        <v>1.6666667E-2</v>
      </c>
      <c r="D16">
        <v>74.23</v>
      </c>
      <c r="E16">
        <v>20</v>
      </c>
      <c r="F16" t="s">
        <v>4</v>
      </c>
      <c r="H16" t="s">
        <v>1</v>
      </c>
      <c r="I16">
        <v>1.6666667E-2</v>
      </c>
      <c r="J16">
        <v>40.520000000000003</v>
      </c>
      <c r="K16">
        <v>14</v>
      </c>
      <c r="L16" t="s">
        <v>7</v>
      </c>
      <c r="N16" t="s">
        <v>2</v>
      </c>
      <c r="O16">
        <v>1.6666667E-2</v>
      </c>
      <c r="P16">
        <v>26.84</v>
      </c>
      <c r="Q16">
        <v>25</v>
      </c>
      <c r="R16" t="s">
        <v>8</v>
      </c>
      <c r="T16" t="s">
        <v>3</v>
      </c>
      <c r="U16">
        <v>1.6666667E-2</v>
      </c>
      <c r="V16">
        <v>28.99</v>
      </c>
      <c r="W16">
        <v>23</v>
      </c>
      <c r="X16" t="s">
        <v>10</v>
      </c>
    </row>
    <row r="17" spans="1:24" x14ac:dyDescent="0.2">
      <c r="A17" t="s">
        <v>14</v>
      </c>
      <c r="B17" t="s">
        <v>0</v>
      </c>
      <c r="C17">
        <v>1.6666669999999999E-3</v>
      </c>
      <c r="D17">
        <v>10.3</v>
      </c>
      <c r="E17">
        <v>18</v>
      </c>
      <c r="F17" t="s">
        <v>6</v>
      </c>
      <c r="H17" t="s">
        <v>1</v>
      </c>
      <c r="I17">
        <v>1.6666669999999999E-3</v>
      </c>
      <c r="J17">
        <v>4.9000000000000004</v>
      </c>
      <c r="K17">
        <v>14</v>
      </c>
      <c r="L17" t="s">
        <v>7</v>
      </c>
      <c r="N17" t="s">
        <v>2</v>
      </c>
      <c r="O17">
        <v>1.6666669999999999E-3</v>
      </c>
      <c r="P17">
        <v>3.36</v>
      </c>
      <c r="Q17">
        <v>25</v>
      </c>
      <c r="R17" t="s">
        <v>8</v>
      </c>
      <c r="T17" t="s">
        <v>3</v>
      </c>
      <c r="U17">
        <v>1.6666669999999999E-3</v>
      </c>
      <c r="V17">
        <v>3.37</v>
      </c>
      <c r="W17">
        <v>22</v>
      </c>
      <c r="X17" t="s">
        <v>9</v>
      </c>
    </row>
    <row r="18" spans="1:24" x14ac:dyDescent="0.2">
      <c r="B18" t="s">
        <v>0</v>
      </c>
      <c r="C18">
        <v>0.01</v>
      </c>
      <c r="D18">
        <v>10.35</v>
      </c>
      <c r="E18">
        <v>18</v>
      </c>
      <c r="F18" t="s">
        <v>6</v>
      </c>
      <c r="H18" t="s">
        <v>1</v>
      </c>
      <c r="I18">
        <v>0.01</v>
      </c>
      <c r="J18">
        <v>10.130000000000001</v>
      </c>
      <c r="K18">
        <v>14</v>
      </c>
      <c r="L18" t="s">
        <v>7</v>
      </c>
      <c r="N18" t="s">
        <v>2</v>
      </c>
      <c r="O18">
        <v>0.01</v>
      </c>
      <c r="P18">
        <v>5.93</v>
      </c>
      <c r="Q18">
        <v>25</v>
      </c>
      <c r="R18" t="s">
        <v>8</v>
      </c>
      <c r="T18" t="s">
        <v>3</v>
      </c>
      <c r="U18">
        <v>0.01</v>
      </c>
      <c r="V18">
        <v>7.38</v>
      </c>
      <c r="W18">
        <v>22</v>
      </c>
      <c r="X18" t="s">
        <v>9</v>
      </c>
    </row>
    <row r="19" spans="1:24" x14ac:dyDescent="0.2">
      <c r="A19" t="s">
        <v>14</v>
      </c>
      <c r="B19" t="s">
        <v>0</v>
      </c>
      <c r="C19">
        <v>1.6666669999999999E-3</v>
      </c>
      <c r="D19">
        <v>2.85</v>
      </c>
      <c r="E19">
        <v>18</v>
      </c>
      <c r="F19" t="s">
        <v>6</v>
      </c>
      <c r="H19" t="s">
        <v>1</v>
      </c>
      <c r="I19">
        <v>1.6666669999999999E-3</v>
      </c>
      <c r="J19">
        <v>2.87</v>
      </c>
      <c r="K19">
        <v>13</v>
      </c>
      <c r="L19" t="s">
        <v>12</v>
      </c>
      <c r="N19" t="s">
        <v>2</v>
      </c>
      <c r="O19">
        <v>1.6666669999999999E-3</v>
      </c>
      <c r="P19">
        <v>3.85</v>
      </c>
      <c r="Q19">
        <v>25</v>
      </c>
      <c r="R19" t="s">
        <v>8</v>
      </c>
      <c r="T19" t="s">
        <v>3</v>
      </c>
      <c r="U19">
        <v>1.6666669999999999E-3</v>
      </c>
      <c r="V19">
        <v>2.09</v>
      </c>
      <c r="W19">
        <v>21</v>
      </c>
      <c r="X19" t="s">
        <v>5</v>
      </c>
    </row>
    <row r="20" spans="1:24" x14ac:dyDescent="0.2">
      <c r="A20" t="s">
        <v>14</v>
      </c>
      <c r="B20" t="s">
        <v>0</v>
      </c>
      <c r="C20">
        <v>1.6666700000000001E-4</v>
      </c>
      <c r="D20">
        <v>0.49</v>
      </c>
      <c r="E20">
        <v>17</v>
      </c>
      <c r="F20" t="s">
        <v>11</v>
      </c>
      <c r="H20" t="s">
        <v>1</v>
      </c>
      <c r="I20">
        <v>1.6666700000000001E-4</v>
      </c>
      <c r="J20">
        <v>0.33</v>
      </c>
      <c r="K20">
        <v>13</v>
      </c>
      <c r="L20" t="s">
        <v>12</v>
      </c>
      <c r="N20" t="s">
        <v>2</v>
      </c>
      <c r="O20">
        <v>1.6666700000000001E-4</v>
      </c>
      <c r="P20">
        <v>0.24</v>
      </c>
      <c r="Q20">
        <v>18</v>
      </c>
      <c r="R20" t="s">
        <v>6</v>
      </c>
      <c r="T20" t="s">
        <v>3</v>
      </c>
      <c r="U20">
        <v>1.6666700000000001E-4</v>
      </c>
      <c r="V20">
        <v>0.27</v>
      </c>
      <c r="W20">
        <v>17</v>
      </c>
      <c r="X20" t="s">
        <v>11</v>
      </c>
    </row>
    <row r="41" spans="2:23" x14ac:dyDescent="0.2">
      <c r="B41" t="s">
        <v>16</v>
      </c>
      <c r="C41">
        <f t="array" ref="C41:D43">LINEST(D3:D12,C3:C12,1,1)</f>
        <v>2463.8057915304212</v>
      </c>
      <c r="D41">
        <v>1.5297760711779596</v>
      </c>
      <c r="E41" t="s">
        <v>18</v>
      </c>
      <c r="H41" t="s">
        <v>16</v>
      </c>
      <c r="I41">
        <f t="array" ref="I41:J43">LINEST(J3:J12,I3:I12,1,1)</f>
        <v>1712.2733739921948</v>
      </c>
      <c r="J41">
        <v>0.82261841962941062</v>
      </c>
      <c r="K41" t="s">
        <v>18</v>
      </c>
      <c r="N41" t="s">
        <v>16</v>
      </c>
      <c r="O41">
        <f t="array" ref="O41:P43">LINEST(P3:P12,O3:O12,1,1)</f>
        <v>1338.2481189035975</v>
      </c>
      <c r="P41">
        <v>0.63732539015588863</v>
      </c>
      <c r="Q41" t="s">
        <v>18</v>
      </c>
      <c r="T41" t="s">
        <v>16</v>
      </c>
      <c r="U41">
        <f t="array" ref="U41:V43">LINEST(V3:V12,U3:U12,1,1)</f>
        <v>1367.7005555231988</v>
      </c>
      <c r="V41">
        <v>0.70264684755145268</v>
      </c>
      <c r="W41" t="s">
        <v>18</v>
      </c>
    </row>
    <row r="42" spans="2:23" x14ac:dyDescent="0.2">
      <c r="C42">
        <v>57.982736209067838</v>
      </c>
      <c r="D42">
        <v>1.0515217570316135</v>
      </c>
      <c r="I42">
        <v>14.662260221330214</v>
      </c>
      <c r="J42">
        <v>0.26590131197666267</v>
      </c>
      <c r="O42">
        <v>14.438679832185557</v>
      </c>
      <c r="P42">
        <v>0.26184666297245723</v>
      </c>
      <c r="U42">
        <v>15.788652724264397</v>
      </c>
      <c r="V42">
        <v>0.28632853396083935</v>
      </c>
    </row>
    <row r="43" spans="2:23" x14ac:dyDescent="0.2">
      <c r="B43" t="s">
        <v>17</v>
      </c>
      <c r="C43">
        <v>0.99558882316936714</v>
      </c>
      <c r="D43">
        <v>2.7525048275312627</v>
      </c>
      <c r="H43" t="s">
        <v>17</v>
      </c>
      <c r="I43">
        <v>0.99941373908491371</v>
      </c>
      <c r="J43">
        <v>0.69603376246703408</v>
      </c>
      <c r="N43" t="s">
        <v>17</v>
      </c>
      <c r="O43">
        <v>0.99906960488197172</v>
      </c>
      <c r="P43">
        <v>0.68542015330166073</v>
      </c>
      <c r="T43" t="s">
        <v>17</v>
      </c>
      <c r="U43">
        <v>0.99893503501137559</v>
      </c>
      <c r="V43">
        <v>0.74950486446612352</v>
      </c>
    </row>
    <row r="45" spans="2:23" x14ac:dyDescent="0.2">
      <c r="B45" s="1" t="s">
        <v>20</v>
      </c>
      <c r="H45" s="1" t="s">
        <v>20</v>
      </c>
      <c r="N45" s="1" t="s">
        <v>20</v>
      </c>
      <c r="T45" s="1" t="s">
        <v>20</v>
      </c>
    </row>
    <row r="46" spans="2:23" x14ac:dyDescent="0.2">
      <c r="B46" t="s">
        <v>30</v>
      </c>
      <c r="C46">
        <f>AVERAGE(F3:F12)</f>
        <v>259</v>
      </c>
      <c r="H46" t="s">
        <v>30</v>
      </c>
      <c r="I46">
        <f>AVERAGE(L3:L12)</f>
        <v>252.4</v>
      </c>
      <c r="N46" t="s">
        <v>30</v>
      </c>
      <c r="O46">
        <f>AVERAGE(R3:R12)</f>
        <v>265</v>
      </c>
      <c r="T46" t="s">
        <v>30</v>
      </c>
      <c r="U46">
        <f>AVERAGE(U36:U45)</f>
        <v>461.49604776082487</v>
      </c>
    </row>
    <row r="47" spans="2:23" x14ac:dyDescent="0.2">
      <c r="B47" t="s">
        <v>19</v>
      </c>
      <c r="C47">
        <f>C41+D41</f>
        <v>2465.335567601599</v>
      </c>
      <c r="H47" t="s">
        <v>19</v>
      </c>
      <c r="I47">
        <f>I41+J41</f>
        <v>1713.0959924118242</v>
      </c>
      <c r="N47" t="s">
        <v>19</v>
      </c>
      <c r="O47">
        <f>O41+P41</f>
        <v>1338.8854442937534</v>
      </c>
      <c r="T47" t="s">
        <v>19</v>
      </c>
      <c r="U47">
        <f>U41+V41</f>
        <v>1368.4032023707503</v>
      </c>
    </row>
    <row r="48" spans="2:23" x14ac:dyDescent="0.2">
      <c r="B48" t="s">
        <v>25</v>
      </c>
      <c r="C48" s="2">
        <f>D56</f>
        <v>15400</v>
      </c>
      <c r="H48" t="s">
        <v>25</v>
      </c>
      <c r="I48" s="2">
        <f>D57</f>
        <v>13700</v>
      </c>
      <c r="N48" t="s">
        <v>25</v>
      </c>
      <c r="O48" s="2">
        <f>D58</f>
        <v>9100</v>
      </c>
      <c r="T48" t="s">
        <v>25</v>
      </c>
      <c r="U48" s="2">
        <f>D59</f>
        <v>9600</v>
      </c>
    </row>
    <row r="49" spans="2:21" x14ac:dyDescent="0.2">
      <c r="B49" t="s">
        <v>21</v>
      </c>
      <c r="C49">
        <v>1</v>
      </c>
      <c r="H49" t="s">
        <v>21</v>
      </c>
      <c r="I49">
        <v>1</v>
      </c>
      <c r="N49" t="s">
        <v>21</v>
      </c>
      <c r="O49">
        <v>1</v>
      </c>
      <c r="T49" t="s">
        <v>21</v>
      </c>
      <c r="U49">
        <v>1</v>
      </c>
    </row>
    <row r="50" spans="2:21" x14ac:dyDescent="0.2">
      <c r="B50" t="s">
        <v>27</v>
      </c>
      <c r="C50" s="3">
        <f>C47/C48</f>
        <v>0.16008672516893499</v>
      </c>
      <c r="H50" t="s">
        <v>27</v>
      </c>
      <c r="I50" s="3">
        <f>I47/I48</f>
        <v>0.1250435030957536</v>
      </c>
      <c r="N50" t="s">
        <v>27</v>
      </c>
      <c r="O50" s="3">
        <f>O47/O48</f>
        <v>0.14713026860370917</v>
      </c>
      <c r="T50" t="s">
        <v>27</v>
      </c>
      <c r="U50" s="3">
        <f>U47/U48</f>
        <v>0.14254200024695315</v>
      </c>
    </row>
    <row r="51" spans="2:21" x14ac:dyDescent="0.2">
      <c r="B51" t="s">
        <v>28</v>
      </c>
      <c r="C51" s="4">
        <f>C50*1000</f>
        <v>160.086725168935</v>
      </c>
      <c r="H51" t="s">
        <v>28</v>
      </c>
      <c r="I51" s="4">
        <f>I50*1000</f>
        <v>125.04350309575359</v>
      </c>
      <c r="N51" t="s">
        <v>28</v>
      </c>
      <c r="O51" s="4">
        <f>O50*1000</f>
        <v>147.13026860370917</v>
      </c>
      <c r="T51" t="s">
        <v>28</v>
      </c>
      <c r="U51" s="4">
        <f>U50*1000</f>
        <v>142.54200024695317</v>
      </c>
    </row>
    <row r="54" spans="2:21" x14ac:dyDescent="0.2">
      <c r="B54" t="s">
        <v>26</v>
      </c>
    </row>
    <row r="55" spans="2:21" x14ac:dyDescent="0.2">
      <c r="B55" t="s">
        <v>22</v>
      </c>
      <c r="C55" t="s">
        <v>23</v>
      </c>
      <c r="D55" t="s">
        <v>25</v>
      </c>
    </row>
    <row r="56" spans="2:21" x14ac:dyDescent="0.2">
      <c r="B56" t="s">
        <v>0</v>
      </c>
      <c r="C56">
        <v>259</v>
      </c>
      <c r="D56" s="2">
        <v>15400</v>
      </c>
    </row>
    <row r="57" spans="2:21" x14ac:dyDescent="0.2">
      <c r="B57" t="s">
        <v>1</v>
      </c>
      <c r="C57">
        <v>253</v>
      </c>
      <c r="D57" s="2">
        <v>13700</v>
      </c>
    </row>
    <row r="58" spans="2:21" x14ac:dyDescent="0.2">
      <c r="B58" t="s">
        <v>2</v>
      </c>
      <c r="C58">
        <v>271</v>
      </c>
      <c r="D58" s="2">
        <v>9100</v>
      </c>
    </row>
    <row r="59" spans="2:21" x14ac:dyDescent="0.2">
      <c r="B59" t="s">
        <v>24</v>
      </c>
      <c r="C59">
        <v>267</v>
      </c>
      <c r="D59" s="2">
        <v>9600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2024-04-16T19:40:43Z</dcterms:created>
  <dcterms:modified xsi:type="dcterms:W3CDTF">2024-04-16T20:31:04Z</dcterms:modified>
</cp:coreProperties>
</file>