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Group_Members/EKC/Projects/EKC.01_SHAPE_Standardization/Experiments/EKC.01.047.NMR_NTP_adduction_kinetics/data/peak_analysis/"/>
    </mc:Choice>
  </mc:AlternateContent>
  <xr:revisionPtr revIDLastSave="0" documentId="13_ncr:1_{B8761A5E-63BA-0541-9301-F42D817122B3}" xr6:coauthVersionLast="47" xr6:coauthVersionMax="47" xr10:uidLastSave="{00000000-0000-0000-0000-000000000000}"/>
  <bookViews>
    <workbookView xWindow="20" yWindow="500" windowWidth="15420" windowHeight="16260" firstSheet="2" activeTab="8" xr2:uid="{CDCE2260-9F22-7342-81CB-1000112A91E6}"/>
  </bookViews>
  <sheets>
    <sheet name="all_6ppm" sheetId="8" r:id="rId1"/>
    <sheet name="all_8ppm" sheetId="9" r:id="rId2"/>
    <sheet name="20_1" sheetId="1" r:id="rId3"/>
    <sheet name="37_1" sheetId="3" r:id="rId4"/>
    <sheet name="37_2" sheetId="2" r:id="rId5"/>
    <sheet name="42_1" sheetId="4" r:id="rId6"/>
    <sheet name="42_2" sheetId="5" r:id="rId7"/>
    <sheet name="48_1" sheetId="6" r:id="rId8"/>
    <sheet name="48_2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" i="9" l="1"/>
  <c r="E72" i="9"/>
  <c r="E71" i="9"/>
  <c r="E70" i="9"/>
  <c r="E69" i="9"/>
  <c r="E68" i="9"/>
  <c r="E67" i="9"/>
  <c r="E66" i="9"/>
  <c r="E65" i="9"/>
  <c r="E64" i="9"/>
  <c r="E63" i="9"/>
  <c r="E62" i="9"/>
  <c r="E61" i="9"/>
  <c r="A61" i="9"/>
  <c r="E60" i="9"/>
  <c r="A60" i="9"/>
  <c r="E59" i="9"/>
  <c r="A59" i="9"/>
  <c r="E58" i="9"/>
  <c r="A58" i="9"/>
  <c r="E57" i="9"/>
  <c r="A57" i="9"/>
  <c r="E56" i="9"/>
  <c r="A56" i="9"/>
  <c r="E55" i="9"/>
  <c r="A55" i="9"/>
  <c r="E54" i="9"/>
  <c r="A54" i="9"/>
  <c r="E53" i="9"/>
  <c r="A53" i="9"/>
  <c r="E52" i="9"/>
  <c r="A52" i="9"/>
  <c r="E51" i="9"/>
  <c r="A51" i="9"/>
  <c r="E50" i="9"/>
  <c r="A50" i="9"/>
  <c r="E49" i="9"/>
  <c r="A49" i="9"/>
  <c r="E48" i="9"/>
  <c r="A48" i="9"/>
  <c r="E47" i="9"/>
  <c r="A47" i="9"/>
  <c r="E46" i="9"/>
  <c r="A46" i="9"/>
  <c r="E45" i="9"/>
  <c r="A45" i="9"/>
  <c r="E44" i="9"/>
  <c r="A44" i="9"/>
  <c r="E43" i="9"/>
  <c r="A43" i="9"/>
  <c r="E42" i="9"/>
  <c r="A42" i="9"/>
  <c r="E41" i="9"/>
  <c r="A41" i="9"/>
  <c r="E40" i="9"/>
  <c r="A40" i="9"/>
  <c r="E39" i="9"/>
  <c r="A39" i="9"/>
  <c r="E38" i="9"/>
  <c r="A38" i="9"/>
  <c r="E37" i="9"/>
  <c r="C37" i="9"/>
  <c r="A37" i="9"/>
  <c r="E36" i="9"/>
  <c r="C36" i="9"/>
  <c r="A36" i="9"/>
  <c r="E35" i="9"/>
  <c r="C35" i="9"/>
  <c r="A35" i="9"/>
  <c r="E34" i="9"/>
  <c r="C34" i="9"/>
  <c r="A34" i="9"/>
  <c r="E33" i="9"/>
  <c r="C33" i="9"/>
  <c r="A33" i="9"/>
  <c r="E32" i="9"/>
  <c r="C32" i="9"/>
  <c r="A32" i="9"/>
  <c r="E31" i="9"/>
  <c r="C31" i="9"/>
  <c r="A31" i="9"/>
  <c r="E30" i="9"/>
  <c r="C30" i="9"/>
  <c r="A30" i="9"/>
  <c r="E29" i="9"/>
  <c r="C29" i="9"/>
  <c r="A29" i="9"/>
  <c r="E28" i="9"/>
  <c r="C28" i="9"/>
  <c r="A28" i="9"/>
  <c r="E27" i="9"/>
  <c r="C27" i="9"/>
  <c r="A27" i="9"/>
  <c r="E26" i="9"/>
  <c r="C26" i="9"/>
  <c r="A26" i="9"/>
  <c r="G25" i="9"/>
  <c r="E25" i="9"/>
  <c r="C25" i="9"/>
  <c r="A25" i="9"/>
  <c r="G24" i="9"/>
  <c r="E24" i="9"/>
  <c r="C24" i="9"/>
  <c r="A24" i="9"/>
  <c r="I23" i="9"/>
  <c r="G23" i="9"/>
  <c r="E23" i="9"/>
  <c r="C23" i="9"/>
  <c r="A23" i="9"/>
  <c r="I22" i="9"/>
  <c r="G22" i="9"/>
  <c r="E22" i="9"/>
  <c r="C22" i="9"/>
  <c r="A22" i="9"/>
  <c r="M21" i="9"/>
  <c r="I21" i="9"/>
  <c r="G21" i="9"/>
  <c r="E21" i="9"/>
  <c r="C21" i="9"/>
  <c r="A21" i="9"/>
  <c r="M20" i="9"/>
  <c r="I20" i="9"/>
  <c r="G20" i="9"/>
  <c r="E20" i="9"/>
  <c r="C20" i="9"/>
  <c r="A20" i="9"/>
  <c r="M19" i="9"/>
  <c r="I19" i="9"/>
  <c r="G19" i="9"/>
  <c r="E19" i="9"/>
  <c r="C19" i="9"/>
  <c r="A19" i="9"/>
  <c r="M18" i="9"/>
  <c r="I18" i="9"/>
  <c r="G18" i="9"/>
  <c r="E18" i="9"/>
  <c r="C18" i="9"/>
  <c r="A18" i="9"/>
  <c r="M17" i="9"/>
  <c r="I17" i="9"/>
  <c r="G17" i="9"/>
  <c r="E17" i="9"/>
  <c r="C17" i="9"/>
  <c r="A17" i="9"/>
  <c r="M16" i="9"/>
  <c r="I16" i="9"/>
  <c r="G16" i="9"/>
  <c r="E16" i="9"/>
  <c r="C16" i="9"/>
  <c r="A16" i="9"/>
  <c r="M15" i="9"/>
  <c r="I15" i="9"/>
  <c r="G15" i="9"/>
  <c r="E15" i="9"/>
  <c r="C15" i="9"/>
  <c r="A15" i="9"/>
  <c r="M14" i="9"/>
  <c r="I14" i="9"/>
  <c r="G14" i="9"/>
  <c r="E14" i="9"/>
  <c r="C14" i="9"/>
  <c r="A14" i="9"/>
  <c r="M13" i="9"/>
  <c r="I13" i="9"/>
  <c r="G13" i="9"/>
  <c r="E13" i="9"/>
  <c r="C13" i="9"/>
  <c r="A13" i="9"/>
  <c r="M12" i="9"/>
  <c r="I12" i="9"/>
  <c r="G12" i="9"/>
  <c r="E12" i="9"/>
  <c r="C12" i="9"/>
  <c r="A12" i="9"/>
  <c r="M11" i="9"/>
  <c r="I11" i="9"/>
  <c r="G11" i="9"/>
  <c r="E11" i="9"/>
  <c r="C11" i="9"/>
  <c r="A11" i="9"/>
  <c r="M10" i="9"/>
  <c r="I10" i="9"/>
  <c r="G10" i="9"/>
  <c r="E10" i="9"/>
  <c r="C10" i="9"/>
  <c r="A10" i="9"/>
  <c r="M9" i="9"/>
  <c r="I9" i="9"/>
  <c r="G9" i="9"/>
  <c r="E9" i="9"/>
  <c r="C9" i="9"/>
  <c r="A9" i="9"/>
  <c r="M8" i="9"/>
  <c r="I8" i="9"/>
  <c r="G8" i="9"/>
  <c r="E8" i="9"/>
  <c r="C8" i="9"/>
  <c r="A8" i="9"/>
  <c r="M7" i="9"/>
  <c r="I7" i="9"/>
  <c r="G7" i="9"/>
  <c r="E7" i="9"/>
  <c r="C7" i="9"/>
  <c r="A7" i="9"/>
  <c r="M6" i="9"/>
  <c r="I6" i="9"/>
  <c r="G6" i="9"/>
  <c r="E6" i="9"/>
  <c r="C6" i="9"/>
  <c r="A6" i="9"/>
  <c r="M5" i="9"/>
  <c r="I5" i="9"/>
  <c r="G5" i="9"/>
  <c r="E5" i="9"/>
  <c r="C5" i="9"/>
  <c r="A5" i="9"/>
  <c r="M4" i="9"/>
  <c r="I4" i="9"/>
  <c r="G4" i="9"/>
  <c r="E4" i="9"/>
  <c r="C4" i="9"/>
  <c r="A4" i="9"/>
  <c r="M3" i="9"/>
  <c r="I3" i="9"/>
  <c r="G3" i="9"/>
  <c r="E3" i="9"/>
  <c r="C3" i="9"/>
  <c r="A3" i="9"/>
  <c r="M2" i="9"/>
  <c r="I2" i="9"/>
  <c r="G2" i="9"/>
  <c r="E2" i="9"/>
  <c r="C2" i="9"/>
  <c r="A2" i="9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3" i="7"/>
  <c r="M43" i="7" s="1"/>
  <c r="N21" i="8" s="1"/>
  <c r="L42" i="7"/>
  <c r="M42" i="7" s="1"/>
  <c r="N20" i="8" s="1"/>
  <c r="L41" i="7"/>
  <c r="M41" i="7" s="1"/>
  <c r="N19" i="8" s="1"/>
  <c r="L40" i="7"/>
  <c r="M40" i="7" s="1"/>
  <c r="N18" i="8" s="1"/>
  <c r="L39" i="7"/>
  <c r="M39" i="7" s="1"/>
  <c r="N17" i="8" s="1"/>
  <c r="L38" i="7"/>
  <c r="M38" i="7" s="1"/>
  <c r="N16" i="8" s="1"/>
  <c r="L37" i="7"/>
  <c r="M37" i="7" s="1"/>
  <c r="N15" i="8" s="1"/>
  <c r="L36" i="7"/>
  <c r="M36" i="7" s="1"/>
  <c r="N14" i="8" s="1"/>
  <c r="L35" i="7"/>
  <c r="M35" i="7" s="1"/>
  <c r="N13" i="8" s="1"/>
  <c r="L34" i="7"/>
  <c r="M34" i="7" s="1"/>
  <c r="N12" i="8" s="1"/>
  <c r="L33" i="7"/>
  <c r="M33" i="7" s="1"/>
  <c r="N11" i="8" s="1"/>
  <c r="L32" i="7"/>
  <c r="M32" i="7" s="1"/>
  <c r="N10" i="8" s="1"/>
  <c r="L31" i="7"/>
  <c r="M31" i="7" s="1"/>
  <c r="N9" i="8" s="1"/>
  <c r="L30" i="7"/>
  <c r="M30" i="7" s="1"/>
  <c r="N8" i="8" s="1"/>
  <c r="L29" i="7"/>
  <c r="M29" i="7" s="1"/>
  <c r="N7" i="8" s="1"/>
  <c r="L28" i="7"/>
  <c r="M28" i="7" s="1"/>
  <c r="N6" i="8" s="1"/>
  <c r="L27" i="7"/>
  <c r="M27" i="7" s="1"/>
  <c r="N5" i="8" s="1"/>
  <c r="L26" i="7"/>
  <c r="M26" i="7" s="1"/>
  <c r="N4" i="8" s="1"/>
  <c r="L25" i="7"/>
  <c r="M25" i="7" s="1"/>
  <c r="N3" i="8" s="1"/>
  <c r="L24" i="7"/>
  <c r="M24" i="7" s="1"/>
  <c r="N2" i="8" s="1"/>
  <c r="L21" i="7"/>
  <c r="N21" i="7" s="1"/>
  <c r="N21" i="9" s="1"/>
  <c r="L20" i="7"/>
  <c r="N20" i="7" s="1"/>
  <c r="N20" i="9" s="1"/>
  <c r="L19" i="7"/>
  <c r="M19" i="7" s="1"/>
  <c r="L18" i="7"/>
  <c r="N18" i="7" s="1"/>
  <c r="N18" i="9" s="1"/>
  <c r="L17" i="7"/>
  <c r="N17" i="7" s="1"/>
  <c r="N17" i="9" s="1"/>
  <c r="L16" i="7"/>
  <c r="N16" i="7" s="1"/>
  <c r="N16" i="9" s="1"/>
  <c r="L15" i="7"/>
  <c r="M15" i="7" s="1"/>
  <c r="L14" i="7"/>
  <c r="N14" i="7" s="1"/>
  <c r="N14" i="9" s="1"/>
  <c r="L13" i="7"/>
  <c r="M13" i="7" s="1"/>
  <c r="L12" i="7"/>
  <c r="N12" i="7" s="1"/>
  <c r="N12" i="9" s="1"/>
  <c r="L11" i="7"/>
  <c r="M11" i="7" s="1"/>
  <c r="L10" i="7"/>
  <c r="N10" i="7" s="1"/>
  <c r="N10" i="9" s="1"/>
  <c r="L9" i="7"/>
  <c r="N9" i="7" s="1"/>
  <c r="N9" i="9" s="1"/>
  <c r="L8" i="7"/>
  <c r="N8" i="7" s="1"/>
  <c r="N8" i="9" s="1"/>
  <c r="L7" i="7"/>
  <c r="M7" i="7" s="1"/>
  <c r="L6" i="7"/>
  <c r="N6" i="7" s="1"/>
  <c r="N6" i="9" s="1"/>
  <c r="L5" i="7"/>
  <c r="N5" i="7" s="1"/>
  <c r="N5" i="9" s="1"/>
  <c r="L4" i="7"/>
  <c r="M4" i="7" s="1"/>
  <c r="L3" i="7"/>
  <c r="M3" i="7" s="1"/>
  <c r="L2" i="7"/>
  <c r="N2" i="7" s="1"/>
  <c r="N2" i="9" s="1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3" i="6"/>
  <c r="M43" i="6" s="1"/>
  <c r="L42" i="6"/>
  <c r="M42" i="6" s="1"/>
  <c r="L41" i="6"/>
  <c r="M41" i="6" s="1"/>
  <c r="L40" i="6"/>
  <c r="M40" i="6" s="1"/>
  <c r="L39" i="6"/>
  <c r="M39" i="6" s="1"/>
  <c r="L38" i="6"/>
  <c r="M38" i="6" s="1"/>
  <c r="L37" i="6"/>
  <c r="M37" i="6" s="1"/>
  <c r="L36" i="6"/>
  <c r="M36" i="6" s="1"/>
  <c r="L35" i="6"/>
  <c r="M35" i="6" s="1"/>
  <c r="L34" i="6"/>
  <c r="M34" i="6" s="1"/>
  <c r="L33" i="6"/>
  <c r="M33" i="6" s="1"/>
  <c r="L32" i="6"/>
  <c r="M32" i="6" s="1"/>
  <c r="L31" i="6"/>
  <c r="M31" i="6" s="1"/>
  <c r="L30" i="6"/>
  <c r="M30" i="6" s="1"/>
  <c r="L29" i="6"/>
  <c r="M29" i="6" s="1"/>
  <c r="L28" i="6"/>
  <c r="M28" i="6" s="1"/>
  <c r="L27" i="6"/>
  <c r="M27" i="6" s="1"/>
  <c r="L26" i="6"/>
  <c r="M26" i="6" s="1"/>
  <c r="L25" i="6"/>
  <c r="M25" i="6" s="1"/>
  <c r="L24" i="6"/>
  <c r="M24" i="6" s="1"/>
  <c r="L21" i="6"/>
  <c r="N21" i="6" s="1"/>
  <c r="L21" i="9" s="1"/>
  <c r="L20" i="6"/>
  <c r="M20" i="6" s="1"/>
  <c r="L19" i="6"/>
  <c r="N19" i="6" s="1"/>
  <c r="L19" i="9" s="1"/>
  <c r="L18" i="6"/>
  <c r="M18" i="6" s="1"/>
  <c r="L17" i="6"/>
  <c r="N17" i="6" s="1"/>
  <c r="L17" i="9" s="1"/>
  <c r="L16" i="6"/>
  <c r="N16" i="6" s="1"/>
  <c r="L16" i="9" s="1"/>
  <c r="L15" i="6"/>
  <c r="M15" i="6" s="1"/>
  <c r="L14" i="6"/>
  <c r="M14" i="6" s="1"/>
  <c r="L13" i="6"/>
  <c r="N13" i="6" s="1"/>
  <c r="L13" i="9" s="1"/>
  <c r="L12" i="6"/>
  <c r="M12" i="6" s="1"/>
  <c r="L11" i="6"/>
  <c r="N11" i="6" s="1"/>
  <c r="L11" i="9" s="1"/>
  <c r="L10" i="6"/>
  <c r="N10" i="6" s="1"/>
  <c r="L10" i="9" s="1"/>
  <c r="L9" i="6"/>
  <c r="M9" i="6" s="1"/>
  <c r="L8" i="6"/>
  <c r="N8" i="6" s="1"/>
  <c r="L8" i="9" s="1"/>
  <c r="L7" i="6"/>
  <c r="N7" i="6" s="1"/>
  <c r="L7" i="9" s="1"/>
  <c r="L6" i="6"/>
  <c r="M6" i="6" s="1"/>
  <c r="L5" i="6"/>
  <c r="M5" i="6" s="1"/>
  <c r="L4" i="6"/>
  <c r="M4" i="6" s="1"/>
  <c r="L3" i="6"/>
  <c r="N3" i="6" s="1"/>
  <c r="L3" i="9" s="1"/>
  <c r="L2" i="6"/>
  <c r="N2" i="6" s="1"/>
  <c r="L2" i="9" s="1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7" i="5"/>
  <c r="M47" i="5" s="1"/>
  <c r="J23" i="8" s="1"/>
  <c r="L46" i="5"/>
  <c r="M46" i="5" s="1"/>
  <c r="J22" i="8" s="1"/>
  <c r="L45" i="5"/>
  <c r="M45" i="5" s="1"/>
  <c r="J21" i="8" s="1"/>
  <c r="L44" i="5"/>
  <c r="M44" i="5" s="1"/>
  <c r="J20" i="8" s="1"/>
  <c r="L43" i="5"/>
  <c r="M43" i="5" s="1"/>
  <c r="J19" i="8" s="1"/>
  <c r="L42" i="5"/>
  <c r="M42" i="5" s="1"/>
  <c r="J18" i="8" s="1"/>
  <c r="L41" i="5"/>
  <c r="M41" i="5" s="1"/>
  <c r="J17" i="8" s="1"/>
  <c r="L40" i="5"/>
  <c r="M40" i="5" s="1"/>
  <c r="J16" i="8" s="1"/>
  <c r="L39" i="5"/>
  <c r="M39" i="5" s="1"/>
  <c r="J15" i="8" s="1"/>
  <c r="L38" i="5"/>
  <c r="M38" i="5" s="1"/>
  <c r="J14" i="8" s="1"/>
  <c r="L37" i="5"/>
  <c r="M37" i="5" s="1"/>
  <c r="J13" i="8" s="1"/>
  <c r="L36" i="5"/>
  <c r="M36" i="5" s="1"/>
  <c r="J12" i="8" s="1"/>
  <c r="L35" i="5"/>
  <c r="M35" i="5" s="1"/>
  <c r="J11" i="8" s="1"/>
  <c r="L34" i="5"/>
  <c r="M34" i="5" s="1"/>
  <c r="J10" i="8" s="1"/>
  <c r="L33" i="5"/>
  <c r="M33" i="5" s="1"/>
  <c r="J9" i="8" s="1"/>
  <c r="L32" i="5"/>
  <c r="M32" i="5" s="1"/>
  <c r="J8" i="8" s="1"/>
  <c r="L31" i="5"/>
  <c r="M31" i="5" s="1"/>
  <c r="J7" i="8" s="1"/>
  <c r="L30" i="5"/>
  <c r="M30" i="5" s="1"/>
  <c r="J6" i="8" s="1"/>
  <c r="L29" i="5"/>
  <c r="M29" i="5" s="1"/>
  <c r="J5" i="8" s="1"/>
  <c r="L28" i="5"/>
  <c r="M28" i="5" s="1"/>
  <c r="J4" i="8" s="1"/>
  <c r="L27" i="5"/>
  <c r="M27" i="5" s="1"/>
  <c r="J3" i="8" s="1"/>
  <c r="L26" i="5"/>
  <c r="M26" i="5" s="1"/>
  <c r="J2" i="8" s="1"/>
  <c r="L23" i="5"/>
  <c r="M23" i="5" s="1"/>
  <c r="L22" i="5"/>
  <c r="N22" i="5" s="1"/>
  <c r="J22" i="9" s="1"/>
  <c r="L21" i="5"/>
  <c r="M21" i="5" s="1"/>
  <c r="L20" i="5"/>
  <c r="N20" i="5" s="1"/>
  <c r="J20" i="9" s="1"/>
  <c r="L19" i="5"/>
  <c r="N19" i="5" s="1"/>
  <c r="J19" i="9" s="1"/>
  <c r="L18" i="5"/>
  <c r="N18" i="5" s="1"/>
  <c r="J18" i="9" s="1"/>
  <c r="L17" i="5"/>
  <c r="M17" i="5" s="1"/>
  <c r="L16" i="5"/>
  <c r="N16" i="5" s="1"/>
  <c r="J16" i="9" s="1"/>
  <c r="L15" i="5"/>
  <c r="N15" i="5" s="1"/>
  <c r="J15" i="9" s="1"/>
  <c r="L14" i="5"/>
  <c r="M14" i="5" s="1"/>
  <c r="L13" i="5"/>
  <c r="M13" i="5" s="1"/>
  <c r="L12" i="5"/>
  <c r="N12" i="5" s="1"/>
  <c r="J12" i="9" s="1"/>
  <c r="L11" i="5"/>
  <c r="N11" i="5" s="1"/>
  <c r="J11" i="9" s="1"/>
  <c r="L10" i="5"/>
  <c r="N10" i="5" s="1"/>
  <c r="J10" i="9" s="1"/>
  <c r="L9" i="5"/>
  <c r="M9" i="5" s="1"/>
  <c r="L8" i="5"/>
  <c r="N8" i="5" s="1"/>
  <c r="J8" i="9" s="1"/>
  <c r="L7" i="5"/>
  <c r="N7" i="5" s="1"/>
  <c r="J7" i="9" s="1"/>
  <c r="L6" i="5"/>
  <c r="N6" i="5" s="1"/>
  <c r="J6" i="9" s="1"/>
  <c r="L5" i="5"/>
  <c r="M5" i="5" s="1"/>
  <c r="L4" i="5"/>
  <c r="N4" i="5" s="1"/>
  <c r="J4" i="9" s="1"/>
  <c r="L3" i="5"/>
  <c r="N3" i="5" s="1"/>
  <c r="J3" i="9" s="1"/>
  <c r="L2" i="5"/>
  <c r="N2" i="5" s="1"/>
  <c r="J2" i="9" s="1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1" i="4"/>
  <c r="M51" i="4" s="1"/>
  <c r="H25" i="8" s="1"/>
  <c r="L50" i="4"/>
  <c r="M50" i="4" s="1"/>
  <c r="H24" i="8" s="1"/>
  <c r="L49" i="4"/>
  <c r="M49" i="4" s="1"/>
  <c r="H23" i="8" s="1"/>
  <c r="L48" i="4"/>
  <c r="M48" i="4" s="1"/>
  <c r="H22" i="8" s="1"/>
  <c r="L47" i="4"/>
  <c r="M47" i="4" s="1"/>
  <c r="H21" i="8" s="1"/>
  <c r="L46" i="4"/>
  <c r="M46" i="4" s="1"/>
  <c r="H20" i="8" s="1"/>
  <c r="L45" i="4"/>
  <c r="M45" i="4" s="1"/>
  <c r="H19" i="8" s="1"/>
  <c r="L44" i="4"/>
  <c r="M44" i="4" s="1"/>
  <c r="H18" i="8" s="1"/>
  <c r="L43" i="4"/>
  <c r="M43" i="4" s="1"/>
  <c r="H17" i="8" s="1"/>
  <c r="L42" i="4"/>
  <c r="M42" i="4" s="1"/>
  <c r="H16" i="8" s="1"/>
  <c r="L41" i="4"/>
  <c r="M41" i="4" s="1"/>
  <c r="H15" i="8" s="1"/>
  <c r="L40" i="4"/>
  <c r="M40" i="4" s="1"/>
  <c r="H14" i="8" s="1"/>
  <c r="L39" i="4"/>
  <c r="M39" i="4" s="1"/>
  <c r="H13" i="8" s="1"/>
  <c r="L38" i="4"/>
  <c r="M38" i="4" s="1"/>
  <c r="H12" i="8" s="1"/>
  <c r="L37" i="4"/>
  <c r="M37" i="4" s="1"/>
  <c r="H11" i="8" s="1"/>
  <c r="L36" i="4"/>
  <c r="M36" i="4" s="1"/>
  <c r="H10" i="8" s="1"/>
  <c r="L35" i="4"/>
  <c r="M35" i="4" s="1"/>
  <c r="H9" i="8" s="1"/>
  <c r="L34" i="4"/>
  <c r="M34" i="4" s="1"/>
  <c r="H8" i="8" s="1"/>
  <c r="L33" i="4"/>
  <c r="M33" i="4" s="1"/>
  <c r="H7" i="8" s="1"/>
  <c r="L32" i="4"/>
  <c r="M32" i="4" s="1"/>
  <c r="H6" i="8" s="1"/>
  <c r="L31" i="4"/>
  <c r="M31" i="4" s="1"/>
  <c r="H5" i="8" s="1"/>
  <c r="L30" i="4"/>
  <c r="M30" i="4" s="1"/>
  <c r="H4" i="8" s="1"/>
  <c r="L29" i="4"/>
  <c r="M29" i="4" s="1"/>
  <c r="H3" i="8" s="1"/>
  <c r="L28" i="4"/>
  <c r="M28" i="4" s="1"/>
  <c r="H2" i="8" s="1"/>
  <c r="L25" i="4"/>
  <c r="M25" i="4" s="1"/>
  <c r="L24" i="4"/>
  <c r="M24" i="4" s="1"/>
  <c r="L23" i="4"/>
  <c r="N23" i="4" s="1"/>
  <c r="H23" i="9" s="1"/>
  <c r="L22" i="4"/>
  <c r="N22" i="4" s="1"/>
  <c r="H22" i="9" s="1"/>
  <c r="L21" i="4"/>
  <c r="M21" i="4" s="1"/>
  <c r="L20" i="4"/>
  <c r="M20" i="4" s="1"/>
  <c r="L19" i="4"/>
  <c r="N19" i="4" s="1"/>
  <c r="H19" i="9" s="1"/>
  <c r="L18" i="4"/>
  <c r="M18" i="4" s="1"/>
  <c r="L17" i="4"/>
  <c r="M17" i="4" s="1"/>
  <c r="L16" i="4"/>
  <c r="M16" i="4" s="1"/>
  <c r="L15" i="4"/>
  <c r="N15" i="4" s="1"/>
  <c r="H15" i="9" s="1"/>
  <c r="L14" i="4"/>
  <c r="M14" i="4" s="1"/>
  <c r="L13" i="4"/>
  <c r="N13" i="4" s="1"/>
  <c r="H13" i="9" s="1"/>
  <c r="L12" i="4"/>
  <c r="M12" i="4" s="1"/>
  <c r="L11" i="4"/>
  <c r="N11" i="4" s="1"/>
  <c r="H11" i="9" s="1"/>
  <c r="L10" i="4"/>
  <c r="M10" i="4" s="1"/>
  <c r="L9" i="4"/>
  <c r="M9" i="4" s="1"/>
  <c r="L8" i="4"/>
  <c r="M8" i="4" s="1"/>
  <c r="L7" i="4"/>
  <c r="N7" i="4" s="1"/>
  <c r="H7" i="9" s="1"/>
  <c r="L6" i="4"/>
  <c r="M6" i="4" s="1"/>
  <c r="L5" i="4"/>
  <c r="M5" i="4" s="1"/>
  <c r="L4" i="4"/>
  <c r="N4" i="4" s="1"/>
  <c r="H4" i="9" s="1"/>
  <c r="L3" i="4"/>
  <c r="N3" i="4" s="1"/>
  <c r="H3" i="9" s="1"/>
  <c r="L2" i="4"/>
  <c r="N2" i="4" s="1"/>
  <c r="H2" i="9" s="1"/>
  <c r="L147" i="2"/>
  <c r="M147" i="2" s="1"/>
  <c r="F73" i="8" s="1"/>
  <c r="L146" i="2"/>
  <c r="M146" i="2" s="1"/>
  <c r="F72" i="8" s="1"/>
  <c r="L145" i="2"/>
  <c r="M145" i="2" s="1"/>
  <c r="F71" i="8" s="1"/>
  <c r="L144" i="2"/>
  <c r="M144" i="2" s="1"/>
  <c r="F70" i="8" s="1"/>
  <c r="L143" i="2"/>
  <c r="M143" i="2" s="1"/>
  <c r="F69" i="8" s="1"/>
  <c r="L142" i="2"/>
  <c r="M142" i="2" s="1"/>
  <c r="F68" i="8" s="1"/>
  <c r="L141" i="2"/>
  <c r="M141" i="2" s="1"/>
  <c r="F67" i="8" s="1"/>
  <c r="L140" i="2"/>
  <c r="M140" i="2" s="1"/>
  <c r="F66" i="8" s="1"/>
  <c r="L139" i="2"/>
  <c r="M139" i="2" s="1"/>
  <c r="F65" i="8" s="1"/>
  <c r="L138" i="2"/>
  <c r="M138" i="2" s="1"/>
  <c r="F64" i="8" s="1"/>
  <c r="L137" i="2"/>
  <c r="M137" i="2" s="1"/>
  <c r="F63" i="8" s="1"/>
  <c r="L136" i="2"/>
  <c r="M136" i="2" s="1"/>
  <c r="F62" i="8" s="1"/>
  <c r="L135" i="2"/>
  <c r="M135" i="2" s="1"/>
  <c r="F61" i="8" s="1"/>
  <c r="L134" i="2"/>
  <c r="M134" i="2" s="1"/>
  <c r="F60" i="8" s="1"/>
  <c r="L133" i="2"/>
  <c r="M133" i="2" s="1"/>
  <c r="F59" i="8" s="1"/>
  <c r="L132" i="2"/>
  <c r="M132" i="2" s="1"/>
  <c r="F58" i="8" s="1"/>
  <c r="L131" i="2"/>
  <c r="M131" i="2" s="1"/>
  <c r="F57" i="8" s="1"/>
  <c r="L130" i="2"/>
  <c r="M130" i="2" s="1"/>
  <c r="F56" i="8" s="1"/>
  <c r="L129" i="2"/>
  <c r="M129" i="2" s="1"/>
  <c r="F55" i="8" s="1"/>
  <c r="L128" i="2"/>
  <c r="M128" i="2" s="1"/>
  <c r="F54" i="8" s="1"/>
  <c r="L127" i="2"/>
  <c r="M127" i="2" s="1"/>
  <c r="F53" i="8" s="1"/>
  <c r="L126" i="2"/>
  <c r="M126" i="2" s="1"/>
  <c r="F52" i="8" s="1"/>
  <c r="L125" i="2"/>
  <c r="M125" i="2" s="1"/>
  <c r="F51" i="8" s="1"/>
  <c r="L124" i="2"/>
  <c r="M124" i="2" s="1"/>
  <c r="F50" i="8" s="1"/>
  <c r="L123" i="2"/>
  <c r="M123" i="2" s="1"/>
  <c r="F49" i="8" s="1"/>
  <c r="L122" i="2"/>
  <c r="M122" i="2" s="1"/>
  <c r="F48" i="8" s="1"/>
  <c r="L121" i="2"/>
  <c r="M121" i="2" s="1"/>
  <c r="F47" i="8" s="1"/>
  <c r="L120" i="2"/>
  <c r="M120" i="2" s="1"/>
  <c r="F46" i="8" s="1"/>
  <c r="L119" i="2"/>
  <c r="M119" i="2" s="1"/>
  <c r="F45" i="8" s="1"/>
  <c r="L118" i="2"/>
  <c r="M118" i="2" s="1"/>
  <c r="F44" i="8" s="1"/>
  <c r="L117" i="2"/>
  <c r="M117" i="2" s="1"/>
  <c r="F43" i="8" s="1"/>
  <c r="L116" i="2"/>
  <c r="M116" i="2" s="1"/>
  <c r="F42" i="8" s="1"/>
  <c r="L115" i="2"/>
  <c r="M115" i="2" s="1"/>
  <c r="F41" i="8" s="1"/>
  <c r="L114" i="2"/>
  <c r="M114" i="2" s="1"/>
  <c r="F40" i="8" s="1"/>
  <c r="L113" i="2"/>
  <c r="M113" i="2" s="1"/>
  <c r="F39" i="8" s="1"/>
  <c r="L112" i="2"/>
  <c r="M112" i="2" s="1"/>
  <c r="F38" i="8" s="1"/>
  <c r="L111" i="2"/>
  <c r="M111" i="2" s="1"/>
  <c r="F37" i="8" s="1"/>
  <c r="L110" i="2"/>
  <c r="M110" i="2" s="1"/>
  <c r="F36" i="8" s="1"/>
  <c r="L109" i="2"/>
  <c r="M109" i="2" s="1"/>
  <c r="F35" i="8" s="1"/>
  <c r="L108" i="2"/>
  <c r="M108" i="2" s="1"/>
  <c r="F34" i="8" s="1"/>
  <c r="L107" i="2"/>
  <c r="M107" i="2" s="1"/>
  <c r="F33" i="8" s="1"/>
  <c r="L106" i="2"/>
  <c r="M106" i="2" s="1"/>
  <c r="F32" i="8" s="1"/>
  <c r="L105" i="2"/>
  <c r="M105" i="2" s="1"/>
  <c r="F31" i="8" s="1"/>
  <c r="L104" i="2"/>
  <c r="M104" i="2" s="1"/>
  <c r="F30" i="8" s="1"/>
  <c r="L103" i="2"/>
  <c r="M103" i="2" s="1"/>
  <c r="F29" i="8" s="1"/>
  <c r="L102" i="2"/>
  <c r="M102" i="2" s="1"/>
  <c r="F28" i="8" s="1"/>
  <c r="L101" i="2"/>
  <c r="M101" i="2" s="1"/>
  <c r="F27" i="8" s="1"/>
  <c r="L100" i="2"/>
  <c r="M100" i="2" s="1"/>
  <c r="F26" i="8" s="1"/>
  <c r="L99" i="2"/>
  <c r="M99" i="2" s="1"/>
  <c r="F25" i="8" s="1"/>
  <c r="L98" i="2"/>
  <c r="M98" i="2" s="1"/>
  <c r="F24" i="8" s="1"/>
  <c r="L97" i="2"/>
  <c r="M97" i="2" s="1"/>
  <c r="F23" i="8" s="1"/>
  <c r="L96" i="2"/>
  <c r="M96" i="2" s="1"/>
  <c r="F22" i="8" s="1"/>
  <c r="L95" i="2"/>
  <c r="M95" i="2" s="1"/>
  <c r="F21" i="8" s="1"/>
  <c r="L94" i="2"/>
  <c r="M94" i="2" s="1"/>
  <c r="F20" i="8" s="1"/>
  <c r="L93" i="2"/>
  <c r="M93" i="2" s="1"/>
  <c r="F19" i="8" s="1"/>
  <c r="L92" i="2"/>
  <c r="M92" i="2" s="1"/>
  <c r="F18" i="8" s="1"/>
  <c r="L91" i="2"/>
  <c r="M91" i="2" s="1"/>
  <c r="F17" i="8" s="1"/>
  <c r="L90" i="2"/>
  <c r="M90" i="2" s="1"/>
  <c r="F16" i="8" s="1"/>
  <c r="L89" i="2"/>
  <c r="M89" i="2" s="1"/>
  <c r="F15" i="8" s="1"/>
  <c r="L88" i="2"/>
  <c r="M88" i="2" s="1"/>
  <c r="F14" i="8" s="1"/>
  <c r="L87" i="2"/>
  <c r="M87" i="2" s="1"/>
  <c r="F13" i="8" s="1"/>
  <c r="L86" i="2"/>
  <c r="M86" i="2" s="1"/>
  <c r="F12" i="8" s="1"/>
  <c r="L85" i="2"/>
  <c r="M85" i="2" s="1"/>
  <c r="F11" i="8" s="1"/>
  <c r="L84" i="2"/>
  <c r="M84" i="2" s="1"/>
  <c r="F10" i="8" s="1"/>
  <c r="L83" i="2"/>
  <c r="M83" i="2" s="1"/>
  <c r="F9" i="8" s="1"/>
  <c r="L82" i="2"/>
  <c r="M82" i="2" s="1"/>
  <c r="F8" i="8" s="1"/>
  <c r="L81" i="2"/>
  <c r="M81" i="2" s="1"/>
  <c r="F7" i="8" s="1"/>
  <c r="L80" i="2"/>
  <c r="M80" i="2" s="1"/>
  <c r="F6" i="8" s="1"/>
  <c r="L79" i="2"/>
  <c r="M79" i="2" s="1"/>
  <c r="F5" i="8" s="1"/>
  <c r="L78" i="2"/>
  <c r="M78" i="2" s="1"/>
  <c r="F4" i="8" s="1"/>
  <c r="L77" i="2"/>
  <c r="M77" i="2" s="1"/>
  <c r="F3" i="8" s="1"/>
  <c r="L76" i="2"/>
  <c r="M76" i="2" s="1"/>
  <c r="F2" i="8" s="1"/>
  <c r="L73" i="2"/>
  <c r="L72" i="2"/>
  <c r="M72" i="2" s="1"/>
  <c r="L71" i="2"/>
  <c r="L70" i="2"/>
  <c r="N70" i="2" s="1"/>
  <c r="F70" i="9" s="1"/>
  <c r="L69" i="2"/>
  <c r="M69" i="2" s="1"/>
  <c r="L68" i="2"/>
  <c r="N68" i="2" s="1"/>
  <c r="F68" i="9" s="1"/>
  <c r="L67" i="2"/>
  <c r="M67" i="2" s="1"/>
  <c r="L66" i="2"/>
  <c r="L65" i="2"/>
  <c r="N65" i="2" s="1"/>
  <c r="F65" i="9" s="1"/>
  <c r="L64" i="2"/>
  <c r="L63" i="2"/>
  <c r="M63" i="2" s="1"/>
  <c r="L62" i="2"/>
  <c r="M62" i="2" s="1"/>
  <c r="L61" i="2"/>
  <c r="N61" i="2" s="1"/>
  <c r="F61" i="9" s="1"/>
  <c r="L60" i="2"/>
  <c r="M60" i="2" s="1"/>
  <c r="L59" i="2"/>
  <c r="L58" i="2"/>
  <c r="M58" i="2" s="1"/>
  <c r="L57" i="2"/>
  <c r="L56" i="2"/>
  <c r="N56" i="2" s="1"/>
  <c r="F56" i="9" s="1"/>
  <c r="L55" i="2"/>
  <c r="L54" i="2"/>
  <c r="N54" i="2" s="1"/>
  <c r="F54" i="9" s="1"/>
  <c r="L53" i="2"/>
  <c r="M53" i="2" s="1"/>
  <c r="L52" i="2"/>
  <c r="N52" i="2" s="1"/>
  <c r="F52" i="9" s="1"/>
  <c r="L51" i="2"/>
  <c r="M51" i="2" s="1"/>
  <c r="L50" i="2"/>
  <c r="L49" i="2"/>
  <c r="M49" i="2" s="1"/>
  <c r="L48" i="2"/>
  <c r="L47" i="2"/>
  <c r="M47" i="2" s="1"/>
  <c r="L46" i="2"/>
  <c r="M46" i="2" s="1"/>
  <c r="L45" i="2"/>
  <c r="N45" i="2" s="1"/>
  <c r="F45" i="9" s="1"/>
  <c r="L44" i="2"/>
  <c r="M44" i="2" s="1"/>
  <c r="L43" i="2"/>
  <c r="L42" i="2"/>
  <c r="M42" i="2" s="1"/>
  <c r="L41" i="2"/>
  <c r="L40" i="2"/>
  <c r="M40" i="2" s="1"/>
  <c r="L39" i="2"/>
  <c r="L38" i="2"/>
  <c r="N38" i="2" s="1"/>
  <c r="F38" i="9" s="1"/>
  <c r="L37" i="2"/>
  <c r="M37" i="2" s="1"/>
  <c r="L36" i="2"/>
  <c r="N36" i="2" s="1"/>
  <c r="F36" i="9" s="1"/>
  <c r="L35" i="2"/>
  <c r="N35" i="2" s="1"/>
  <c r="F35" i="9" s="1"/>
  <c r="L34" i="2"/>
  <c r="N34" i="2" s="1"/>
  <c r="F34" i="9" s="1"/>
  <c r="L33" i="2"/>
  <c r="M33" i="2" s="1"/>
  <c r="L32" i="2"/>
  <c r="N32" i="2" s="1"/>
  <c r="F32" i="9" s="1"/>
  <c r="L31" i="2"/>
  <c r="N31" i="2" s="1"/>
  <c r="F31" i="9" s="1"/>
  <c r="L30" i="2"/>
  <c r="N30" i="2" s="1"/>
  <c r="F30" i="9" s="1"/>
  <c r="L29" i="2"/>
  <c r="M29" i="2" s="1"/>
  <c r="L28" i="2"/>
  <c r="M28" i="2" s="1"/>
  <c r="L27" i="2"/>
  <c r="N27" i="2" s="1"/>
  <c r="F27" i="9" s="1"/>
  <c r="L26" i="2"/>
  <c r="N26" i="2" s="1"/>
  <c r="F26" i="9" s="1"/>
  <c r="L25" i="2"/>
  <c r="M25" i="2" s="1"/>
  <c r="L24" i="2"/>
  <c r="N24" i="2" s="1"/>
  <c r="F24" i="9" s="1"/>
  <c r="L23" i="2"/>
  <c r="N23" i="2" s="1"/>
  <c r="F23" i="9" s="1"/>
  <c r="L22" i="2"/>
  <c r="N22" i="2" s="1"/>
  <c r="F22" i="9" s="1"/>
  <c r="L21" i="2"/>
  <c r="M21" i="2" s="1"/>
  <c r="L20" i="2"/>
  <c r="N20" i="2" s="1"/>
  <c r="F20" i="9" s="1"/>
  <c r="L19" i="2"/>
  <c r="M19" i="2" s="1"/>
  <c r="L18" i="2"/>
  <c r="N18" i="2" s="1"/>
  <c r="F18" i="9" s="1"/>
  <c r="L17" i="2"/>
  <c r="M17" i="2" s="1"/>
  <c r="L16" i="2"/>
  <c r="N16" i="2" s="1"/>
  <c r="F16" i="9" s="1"/>
  <c r="L15" i="2"/>
  <c r="N15" i="2" s="1"/>
  <c r="F15" i="9" s="1"/>
  <c r="L14" i="2"/>
  <c r="N14" i="2" s="1"/>
  <c r="F14" i="9" s="1"/>
  <c r="L13" i="2"/>
  <c r="M13" i="2" s="1"/>
  <c r="L12" i="2"/>
  <c r="N12" i="2" s="1"/>
  <c r="F12" i="9" s="1"/>
  <c r="L11" i="2"/>
  <c r="N11" i="2" s="1"/>
  <c r="F11" i="9" s="1"/>
  <c r="L10" i="2"/>
  <c r="M10" i="2" s="1"/>
  <c r="L9" i="2"/>
  <c r="M9" i="2" s="1"/>
  <c r="L8" i="2"/>
  <c r="N8" i="2" s="1"/>
  <c r="F8" i="9" s="1"/>
  <c r="L7" i="2"/>
  <c r="N7" i="2" s="1"/>
  <c r="F7" i="9" s="1"/>
  <c r="L6" i="2"/>
  <c r="N6" i="2" s="1"/>
  <c r="F6" i="9" s="1"/>
  <c r="L5" i="2"/>
  <c r="M5" i="2" s="1"/>
  <c r="L4" i="2"/>
  <c r="N4" i="2" s="1"/>
  <c r="F4" i="9" s="1"/>
  <c r="L3" i="2"/>
  <c r="N3" i="2" s="1"/>
  <c r="F3" i="9" s="1"/>
  <c r="L2" i="2"/>
  <c r="N2" i="2" s="1"/>
  <c r="F2" i="9" s="1"/>
  <c r="L75" i="3"/>
  <c r="M75" i="3" s="1"/>
  <c r="D37" i="8" s="1"/>
  <c r="L74" i="3"/>
  <c r="M74" i="3" s="1"/>
  <c r="D36" i="8" s="1"/>
  <c r="L73" i="3"/>
  <c r="M73" i="3" s="1"/>
  <c r="D35" i="8" s="1"/>
  <c r="L72" i="3"/>
  <c r="M72" i="3" s="1"/>
  <c r="D34" i="8" s="1"/>
  <c r="L71" i="3"/>
  <c r="M71" i="3" s="1"/>
  <c r="D33" i="8" s="1"/>
  <c r="L70" i="3"/>
  <c r="M70" i="3" s="1"/>
  <c r="D32" i="8" s="1"/>
  <c r="L69" i="3"/>
  <c r="M69" i="3" s="1"/>
  <c r="D31" i="8" s="1"/>
  <c r="L68" i="3"/>
  <c r="M68" i="3" s="1"/>
  <c r="D30" i="8" s="1"/>
  <c r="L67" i="3"/>
  <c r="M67" i="3" s="1"/>
  <c r="D29" i="8" s="1"/>
  <c r="L66" i="3"/>
  <c r="M66" i="3" s="1"/>
  <c r="D28" i="8" s="1"/>
  <c r="L65" i="3"/>
  <c r="M65" i="3" s="1"/>
  <c r="D27" i="8" s="1"/>
  <c r="L64" i="3"/>
  <c r="M64" i="3" s="1"/>
  <c r="D26" i="8" s="1"/>
  <c r="L63" i="3"/>
  <c r="M63" i="3" s="1"/>
  <c r="D25" i="8" s="1"/>
  <c r="L62" i="3"/>
  <c r="M62" i="3" s="1"/>
  <c r="D24" i="8" s="1"/>
  <c r="L61" i="3"/>
  <c r="M61" i="3" s="1"/>
  <c r="D23" i="8" s="1"/>
  <c r="L60" i="3"/>
  <c r="M60" i="3" s="1"/>
  <c r="D22" i="8" s="1"/>
  <c r="L59" i="3"/>
  <c r="M59" i="3" s="1"/>
  <c r="D21" i="8" s="1"/>
  <c r="L58" i="3"/>
  <c r="M58" i="3" s="1"/>
  <c r="D20" i="8" s="1"/>
  <c r="L57" i="3"/>
  <c r="M57" i="3" s="1"/>
  <c r="D19" i="8" s="1"/>
  <c r="L56" i="3"/>
  <c r="M56" i="3" s="1"/>
  <c r="D18" i="8" s="1"/>
  <c r="L55" i="3"/>
  <c r="M55" i="3" s="1"/>
  <c r="D17" i="8" s="1"/>
  <c r="L54" i="3"/>
  <c r="M54" i="3" s="1"/>
  <c r="D16" i="8" s="1"/>
  <c r="L53" i="3"/>
  <c r="M53" i="3" s="1"/>
  <c r="D15" i="8" s="1"/>
  <c r="L52" i="3"/>
  <c r="M52" i="3" s="1"/>
  <c r="D14" i="8" s="1"/>
  <c r="L51" i="3"/>
  <c r="M51" i="3" s="1"/>
  <c r="D13" i="8" s="1"/>
  <c r="L50" i="3"/>
  <c r="M50" i="3" s="1"/>
  <c r="D12" i="8" s="1"/>
  <c r="L49" i="3"/>
  <c r="M49" i="3" s="1"/>
  <c r="D11" i="8" s="1"/>
  <c r="L48" i="3"/>
  <c r="M48" i="3" s="1"/>
  <c r="D10" i="8" s="1"/>
  <c r="L47" i="3"/>
  <c r="M47" i="3" s="1"/>
  <c r="D9" i="8" s="1"/>
  <c r="L46" i="3"/>
  <c r="M46" i="3" s="1"/>
  <c r="D8" i="8" s="1"/>
  <c r="L45" i="3"/>
  <c r="M45" i="3" s="1"/>
  <c r="D7" i="8" s="1"/>
  <c r="L44" i="3"/>
  <c r="M44" i="3" s="1"/>
  <c r="D6" i="8" s="1"/>
  <c r="L43" i="3"/>
  <c r="M43" i="3" s="1"/>
  <c r="D5" i="8" s="1"/>
  <c r="L42" i="3"/>
  <c r="M42" i="3" s="1"/>
  <c r="D4" i="8" s="1"/>
  <c r="L41" i="3"/>
  <c r="M41" i="3" s="1"/>
  <c r="D3" i="8" s="1"/>
  <c r="L40" i="3"/>
  <c r="M40" i="3" s="1"/>
  <c r="D2" i="8" s="1"/>
  <c r="L37" i="3"/>
  <c r="M37" i="3" s="1"/>
  <c r="L36" i="3"/>
  <c r="M36" i="3" s="1"/>
  <c r="L35" i="3"/>
  <c r="N35" i="3" s="1"/>
  <c r="D35" i="9" s="1"/>
  <c r="L34" i="3"/>
  <c r="M34" i="3" s="1"/>
  <c r="L33" i="3"/>
  <c r="M33" i="3" s="1"/>
  <c r="L32" i="3"/>
  <c r="M32" i="3" s="1"/>
  <c r="L31" i="3"/>
  <c r="N31" i="3" s="1"/>
  <c r="D31" i="9" s="1"/>
  <c r="L30" i="3"/>
  <c r="M30" i="3" s="1"/>
  <c r="L29" i="3"/>
  <c r="M29" i="3" s="1"/>
  <c r="L28" i="3"/>
  <c r="M28" i="3" s="1"/>
  <c r="L27" i="3"/>
  <c r="N27" i="3" s="1"/>
  <c r="D27" i="9" s="1"/>
  <c r="L26" i="3"/>
  <c r="N26" i="3" s="1"/>
  <c r="D26" i="9" s="1"/>
  <c r="L25" i="3"/>
  <c r="M25" i="3" s="1"/>
  <c r="L24" i="3"/>
  <c r="M24" i="3" s="1"/>
  <c r="L23" i="3"/>
  <c r="N23" i="3" s="1"/>
  <c r="D23" i="9" s="1"/>
  <c r="L22" i="3"/>
  <c r="M22" i="3" s="1"/>
  <c r="L21" i="3"/>
  <c r="M21" i="3" s="1"/>
  <c r="L20" i="3"/>
  <c r="M20" i="3" s="1"/>
  <c r="L19" i="3"/>
  <c r="N19" i="3" s="1"/>
  <c r="D19" i="9" s="1"/>
  <c r="L18" i="3"/>
  <c r="M18" i="3" s="1"/>
  <c r="L17" i="3"/>
  <c r="N17" i="3" s="1"/>
  <c r="D17" i="9" s="1"/>
  <c r="L16" i="3"/>
  <c r="M16" i="3" s="1"/>
  <c r="L15" i="3"/>
  <c r="N15" i="3" s="1"/>
  <c r="D15" i="9" s="1"/>
  <c r="L14" i="3"/>
  <c r="M14" i="3" s="1"/>
  <c r="L13" i="3"/>
  <c r="M13" i="3" s="1"/>
  <c r="L12" i="3"/>
  <c r="M12" i="3" s="1"/>
  <c r="L11" i="3"/>
  <c r="N11" i="3" s="1"/>
  <c r="D11" i="9" s="1"/>
  <c r="L10" i="3"/>
  <c r="M10" i="3" s="1"/>
  <c r="L9" i="3"/>
  <c r="M9" i="3" s="1"/>
  <c r="L8" i="3"/>
  <c r="N8" i="3" s="1"/>
  <c r="D8" i="9" s="1"/>
  <c r="L7" i="3"/>
  <c r="N7" i="3" s="1"/>
  <c r="D7" i="9" s="1"/>
  <c r="L6" i="3"/>
  <c r="M6" i="3" s="1"/>
  <c r="L5" i="3"/>
  <c r="M5" i="3" s="1"/>
  <c r="L4" i="3"/>
  <c r="M4" i="3" s="1"/>
  <c r="L3" i="3"/>
  <c r="N3" i="3" s="1"/>
  <c r="D3" i="9" s="1"/>
  <c r="L2" i="3"/>
  <c r="N2" i="3" s="1"/>
  <c r="D2" i="9" s="1"/>
  <c r="L3" i="1"/>
  <c r="M3" i="1" s="1"/>
  <c r="L4" i="1"/>
  <c r="N4" i="1" s="1"/>
  <c r="B4" i="9" s="1"/>
  <c r="L5" i="1"/>
  <c r="M5" i="1" s="1"/>
  <c r="L6" i="1"/>
  <c r="N6" i="1" s="1"/>
  <c r="B6" i="9" s="1"/>
  <c r="L7" i="1"/>
  <c r="N7" i="1" s="1"/>
  <c r="B7" i="9" s="1"/>
  <c r="L8" i="1"/>
  <c r="N8" i="1" s="1"/>
  <c r="B8" i="9" s="1"/>
  <c r="L9" i="1"/>
  <c r="N9" i="1" s="1"/>
  <c r="B9" i="9" s="1"/>
  <c r="L10" i="1"/>
  <c r="N10" i="1" s="1"/>
  <c r="B10" i="9" s="1"/>
  <c r="L11" i="1"/>
  <c r="M11" i="1" s="1"/>
  <c r="L12" i="1"/>
  <c r="N12" i="1" s="1"/>
  <c r="B12" i="9" s="1"/>
  <c r="L13" i="1"/>
  <c r="M13" i="1" s="1"/>
  <c r="L14" i="1"/>
  <c r="M14" i="1" s="1"/>
  <c r="L15" i="1"/>
  <c r="N15" i="1" s="1"/>
  <c r="B15" i="9" s="1"/>
  <c r="L16" i="1"/>
  <c r="N16" i="1" s="1"/>
  <c r="B16" i="9" s="1"/>
  <c r="L17" i="1"/>
  <c r="N17" i="1" s="1"/>
  <c r="B17" i="9" s="1"/>
  <c r="L18" i="1"/>
  <c r="N18" i="1" s="1"/>
  <c r="B18" i="9" s="1"/>
  <c r="L19" i="1"/>
  <c r="M19" i="1" s="1"/>
  <c r="L20" i="1"/>
  <c r="M20" i="1" s="1"/>
  <c r="L21" i="1"/>
  <c r="M21" i="1" s="1"/>
  <c r="L22" i="1"/>
  <c r="M22" i="1" s="1"/>
  <c r="L23" i="1"/>
  <c r="N23" i="1" s="1"/>
  <c r="B23" i="9" s="1"/>
  <c r="L24" i="1"/>
  <c r="N24" i="1" s="1"/>
  <c r="B24" i="9" s="1"/>
  <c r="L25" i="1"/>
  <c r="N25" i="1" s="1"/>
  <c r="B25" i="9" s="1"/>
  <c r="L26" i="1"/>
  <c r="N26" i="1" s="1"/>
  <c r="B26" i="9" s="1"/>
  <c r="L27" i="1"/>
  <c r="M27" i="1" s="1"/>
  <c r="L28" i="1"/>
  <c r="M28" i="1" s="1"/>
  <c r="L29" i="1"/>
  <c r="M29" i="1" s="1"/>
  <c r="L30" i="1"/>
  <c r="M30" i="1" s="1"/>
  <c r="L31" i="1"/>
  <c r="N31" i="1" s="1"/>
  <c r="B31" i="9" s="1"/>
  <c r="L32" i="1"/>
  <c r="N32" i="1" s="1"/>
  <c r="B32" i="9" s="1"/>
  <c r="L33" i="1"/>
  <c r="N33" i="1" s="1"/>
  <c r="B33" i="9" s="1"/>
  <c r="L34" i="1"/>
  <c r="N34" i="1" s="1"/>
  <c r="B34" i="9" s="1"/>
  <c r="L35" i="1"/>
  <c r="M35" i="1" s="1"/>
  <c r="L36" i="1"/>
  <c r="M36" i="1" s="1"/>
  <c r="L37" i="1"/>
  <c r="M37" i="1" s="1"/>
  <c r="L38" i="1"/>
  <c r="M38" i="1" s="1"/>
  <c r="L39" i="1"/>
  <c r="N39" i="1" s="1"/>
  <c r="B39" i="9" s="1"/>
  <c r="L40" i="1"/>
  <c r="N40" i="1" s="1"/>
  <c r="B40" i="9" s="1"/>
  <c r="L41" i="1"/>
  <c r="N41" i="1" s="1"/>
  <c r="B41" i="9" s="1"/>
  <c r="L42" i="1"/>
  <c r="N42" i="1" s="1"/>
  <c r="B42" i="9" s="1"/>
  <c r="L43" i="1"/>
  <c r="M43" i="1" s="1"/>
  <c r="L44" i="1"/>
  <c r="M44" i="1" s="1"/>
  <c r="L45" i="1"/>
  <c r="M45" i="1" s="1"/>
  <c r="L46" i="1"/>
  <c r="M46" i="1" s="1"/>
  <c r="L47" i="1"/>
  <c r="N47" i="1" s="1"/>
  <c r="B47" i="9" s="1"/>
  <c r="L48" i="1"/>
  <c r="N48" i="1" s="1"/>
  <c r="B48" i="9" s="1"/>
  <c r="L49" i="1"/>
  <c r="N49" i="1" s="1"/>
  <c r="B49" i="9" s="1"/>
  <c r="L50" i="1"/>
  <c r="N50" i="1" s="1"/>
  <c r="B50" i="9" s="1"/>
  <c r="L51" i="1"/>
  <c r="M51" i="1" s="1"/>
  <c r="L52" i="1"/>
  <c r="M52" i="1" s="1"/>
  <c r="L53" i="1"/>
  <c r="M53" i="1" s="1"/>
  <c r="L54" i="1"/>
  <c r="M54" i="1" s="1"/>
  <c r="L55" i="1"/>
  <c r="N55" i="1" s="1"/>
  <c r="B55" i="9" s="1"/>
  <c r="L56" i="1"/>
  <c r="N56" i="1" s="1"/>
  <c r="B56" i="9" s="1"/>
  <c r="L57" i="1"/>
  <c r="N57" i="1" s="1"/>
  <c r="B57" i="9" s="1"/>
  <c r="L58" i="1"/>
  <c r="N58" i="1" s="1"/>
  <c r="B58" i="9" s="1"/>
  <c r="L59" i="1"/>
  <c r="M59" i="1" s="1"/>
  <c r="L60" i="1"/>
  <c r="M60" i="1" s="1"/>
  <c r="L61" i="1"/>
  <c r="M61" i="1" s="1"/>
  <c r="L64" i="1"/>
  <c r="M64" i="1" s="1"/>
  <c r="B2" i="8" s="1"/>
  <c r="L65" i="1"/>
  <c r="M65" i="1" s="1"/>
  <c r="B3" i="8" s="1"/>
  <c r="L66" i="1"/>
  <c r="M66" i="1" s="1"/>
  <c r="B4" i="8" s="1"/>
  <c r="L67" i="1"/>
  <c r="M67" i="1" s="1"/>
  <c r="B5" i="8" s="1"/>
  <c r="L68" i="1"/>
  <c r="M68" i="1" s="1"/>
  <c r="B6" i="8" s="1"/>
  <c r="L69" i="1"/>
  <c r="M69" i="1" s="1"/>
  <c r="B7" i="8" s="1"/>
  <c r="L70" i="1"/>
  <c r="M70" i="1" s="1"/>
  <c r="B8" i="8" s="1"/>
  <c r="L71" i="1"/>
  <c r="M71" i="1" s="1"/>
  <c r="B9" i="8" s="1"/>
  <c r="L72" i="1"/>
  <c r="M72" i="1" s="1"/>
  <c r="B10" i="8" s="1"/>
  <c r="L73" i="1"/>
  <c r="M73" i="1" s="1"/>
  <c r="B11" i="8" s="1"/>
  <c r="L74" i="1"/>
  <c r="M74" i="1" s="1"/>
  <c r="B12" i="8" s="1"/>
  <c r="L75" i="1"/>
  <c r="M75" i="1" s="1"/>
  <c r="B13" i="8" s="1"/>
  <c r="L76" i="1"/>
  <c r="M76" i="1" s="1"/>
  <c r="B14" i="8" s="1"/>
  <c r="L77" i="1"/>
  <c r="M77" i="1" s="1"/>
  <c r="B15" i="8" s="1"/>
  <c r="L78" i="1"/>
  <c r="M78" i="1" s="1"/>
  <c r="B16" i="8" s="1"/>
  <c r="L79" i="1"/>
  <c r="M79" i="1" s="1"/>
  <c r="B17" i="8" s="1"/>
  <c r="L80" i="1"/>
  <c r="M80" i="1" s="1"/>
  <c r="B18" i="8" s="1"/>
  <c r="L81" i="1"/>
  <c r="M81" i="1" s="1"/>
  <c r="B19" i="8" s="1"/>
  <c r="L82" i="1"/>
  <c r="M82" i="1" s="1"/>
  <c r="B20" i="8" s="1"/>
  <c r="L83" i="1"/>
  <c r="M83" i="1" s="1"/>
  <c r="B21" i="8" s="1"/>
  <c r="L84" i="1"/>
  <c r="M84" i="1" s="1"/>
  <c r="B22" i="8" s="1"/>
  <c r="L85" i="1"/>
  <c r="M85" i="1" s="1"/>
  <c r="B23" i="8" s="1"/>
  <c r="L86" i="1"/>
  <c r="M86" i="1" s="1"/>
  <c r="B24" i="8" s="1"/>
  <c r="L87" i="1"/>
  <c r="M87" i="1" s="1"/>
  <c r="B25" i="8" s="1"/>
  <c r="L88" i="1"/>
  <c r="M88" i="1" s="1"/>
  <c r="B26" i="8" s="1"/>
  <c r="L89" i="1"/>
  <c r="M89" i="1" s="1"/>
  <c r="B27" i="8" s="1"/>
  <c r="L90" i="1"/>
  <c r="M90" i="1" s="1"/>
  <c r="B28" i="8" s="1"/>
  <c r="L91" i="1"/>
  <c r="M91" i="1" s="1"/>
  <c r="B29" i="8" s="1"/>
  <c r="L92" i="1"/>
  <c r="M92" i="1" s="1"/>
  <c r="B30" i="8" s="1"/>
  <c r="L93" i="1"/>
  <c r="M93" i="1" s="1"/>
  <c r="B31" i="8" s="1"/>
  <c r="L94" i="1"/>
  <c r="M94" i="1" s="1"/>
  <c r="B32" i="8" s="1"/>
  <c r="L95" i="1"/>
  <c r="M95" i="1" s="1"/>
  <c r="B33" i="8" s="1"/>
  <c r="L96" i="1"/>
  <c r="M96" i="1" s="1"/>
  <c r="B34" i="8" s="1"/>
  <c r="L97" i="1"/>
  <c r="M97" i="1" s="1"/>
  <c r="B35" i="8" s="1"/>
  <c r="L98" i="1"/>
  <c r="M98" i="1" s="1"/>
  <c r="B36" i="8" s="1"/>
  <c r="L99" i="1"/>
  <c r="M99" i="1" s="1"/>
  <c r="B37" i="8" s="1"/>
  <c r="L100" i="1"/>
  <c r="M100" i="1" s="1"/>
  <c r="B38" i="8" s="1"/>
  <c r="L101" i="1"/>
  <c r="M101" i="1" s="1"/>
  <c r="B39" i="8" s="1"/>
  <c r="L102" i="1"/>
  <c r="M102" i="1" s="1"/>
  <c r="B40" i="8" s="1"/>
  <c r="L103" i="1"/>
  <c r="M103" i="1" s="1"/>
  <c r="B41" i="8" s="1"/>
  <c r="L104" i="1"/>
  <c r="M104" i="1" s="1"/>
  <c r="B42" i="8" s="1"/>
  <c r="L105" i="1"/>
  <c r="M105" i="1" s="1"/>
  <c r="B43" i="8" s="1"/>
  <c r="L106" i="1"/>
  <c r="M106" i="1" s="1"/>
  <c r="B44" i="8" s="1"/>
  <c r="L107" i="1"/>
  <c r="M107" i="1" s="1"/>
  <c r="B45" i="8" s="1"/>
  <c r="L108" i="1"/>
  <c r="M108" i="1" s="1"/>
  <c r="B46" i="8" s="1"/>
  <c r="L109" i="1"/>
  <c r="M109" i="1" s="1"/>
  <c r="B47" i="8" s="1"/>
  <c r="L110" i="1"/>
  <c r="M110" i="1" s="1"/>
  <c r="B48" i="8" s="1"/>
  <c r="L111" i="1"/>
  <c r="M111" i="1" s="1"/>
  <c r="B49" i="8" s="1"/>
  <c r="L112" i="1"/>
  <c r="M112" i="1" s="1"/>
  <c r="B50" i="8" s="1"/>
  <c r="L113" i="1"/>
  <c r="M113" i="1" s="1"/>
  <c r="B51" i="8" s="1"/>
  <c r="L114" i="1"/>
  <c r="M114" i="1" s="1"/>
  <c r="B52" i="8" s="1"/>
  <c r="L115" i="1"/>
  <c r="M115" i="1" s="1"/>
  <c r="B53" i="8" s="1"/>
  <c r="L116" i="1"/>
  <c r="M116" i="1" s="1"/>
  <c r="B54" i="8" s="1"/>
  <c r="L117" i="1"/>
  <c r="M117" i="1" s="1"/>
  <c r="B55" i="8" s="1"/>
  <c r="L118" i="1"/>
  <c r="M118" i="1" s="1"/>
  <c r="B56" i="8" s="1"/>
  <c r="L119" i="1"/>
  <c r="M119" i="1" s="1"/>
  <c r="B57" i="8" s="1"/>
  <c r="L120" i="1"/>
  <c r="M120" i="1" s="1"/>
  <c r="B58" i="8" s="1"/>
  <c r="L121" i="1"/>
  <c r="M121" i="1" s="1"/>
  <c r="B59" i="8" s="1"/>
  <c r="L122" i="1"/>
  <c r="M122" i="1" s="1"/>
  <c r="B60" i="8" s="1"/>
  <c r="L123" i="1"/>
  <c r="M123" i="1" s="1"/>
  <c r="B61" i="8" s="1"/>
  <c r="L2" i="1"/>
  <c r="M2" i="1" s="1"/>
  <c r="M66" i="2" l="1"/>
  <c r="N66" i="2"/>
  <c r="F66" i="9" s="1"/>
  <c r="M39" i="2"/>
  <c r="N39" i="2"/>
  <c r="F39" i="9" s="1"/>
  <c r="M55" i="2"/>
  <c r="N55" i="2"/>
  <c r="F55" i="9" s="1"/>
  <c r="M71" i="2"/>
  <c r="N71" i="2"/>
  <c r="F71" i="9" s="1"/>
  <c r="M48" i="2"/>
  <c r="N48" i="2"/>
  <c r="F48" i="9" s="1"/>
  <c r="M64" i="2"/>
  <c r="N64" i="2"/>
  <c r="F64" i="9" s="1"/>
  <c r="M58" i="1"/>
  <c r="M50" i="1"/>
  <c r="M42" i="1"/>
  <c r="M34" i="1"/>
  <c r="M26" i="1"/>
  <c r="M18" i="1"/>
  <c r="M10" i="1"/>
  <c r="N2" i="1"/>
  <c r="B2" i="9" s="1"/>
  <c r="N54" i="1"/>
  <c r="B54" i="9" s="1"/>
  <c r="N46" i="1"/>
  <c r="B46" i="9" s="1"/>
  <c r="N38" i="1"/>
  <c r="B38" i="9" s="1"/>
  <c r="N30" i="1"/>
  <c r="B30" i="9" s="1"/>
  <c r="N22" i="1"/>
  <c r="B22" i="9" s="1"/>
  <c r="N14" i="1"/>
  <c r="B14" i="9" s="1"/>
  <c r="N5" i="1"/>
  <c r="B5" i="9" s="1"/>
  <c r="M35" i="3"/>
  <c r="N30" i="3"/>
  <c r="D30" i="9" s="1"/>
  <c r="M26" i="3"/>
  <c r="N21" i="3"/>
  <c r="D21" i="9" s="1"/>
  <c r="M17" i="3"/>
  <c r="N12" i="3"/>
  <c r="D12" i="9" s="1"/>
  <c r="M8" i="3"/>
  <c r="M3" i="3"/>
  <c r="M6" i="2"/>
  <c r="N10" i="2"/>
  <c r="F10" i="9" s="1"/>
  <c r="M15" i="2"/>
  <c r="N19" i="2"/>
  <c r="F19" i="9" s="1"/>
  <c r="M24" i="2"/>
  <c r="N28" i="2"/>
  <c r="F28" i="9" s="1"/>
  <c r="N33" i="2"/>
  <c r="F33" i="9" s="1"/>
  <c r="M2" i="4"/>
  <c r="M22" i="4"/>
  <c r="N17" i="4"/>
  <c r="H17" i="9" s="1"/>
  <c r="M13" i="4"/>
  <c r="N8" i="4"/>
  <c r="H8" i="9" s="1"/>
  <c r="M4" i="4"/>
  <c r="N5" i="5"/>
  <c r="J5" i="9" s="1"/>
  <c r="M10" i="5"/>
  <c r="N14" i="5"/>
  <c r="J14" i="9" s="1"/>
  <c r="M19" i="5"/>
  <c r="N23" i="5"/>
  <c r="J23" i="9" s="1"/>
  <c r="M10" i="6"/>
  <c r="M19" i="6"/>
  <c r="N15" i="6"/>
  <c r="L15" i="9" s="1"/>
  <c r="N6" i="6"/>
  <c r="L6" i="9" s="1"/>
  <c r="N4" i="7"/>
  <c r="N4" i="9" s="1"/>
  <c r="M9" i="7"/>
  <c r="N13" i="7"/>
  <c r="N13" i="9" s="1"/>
  <c r="M18" i="7"/>
  <c r="M65" i="2"/>
  <c r="M56" i="2"/>
  <c r="N46" i="2"/>
  <c r="F46" i="9" s="1"/>
  <c r="M41" i="2"/>
  <c r="N41" i="2"/>
  <c r="F41" i="9" s="1"/>
  <c r="M57" i="2"/>
  <c r="N57" i="2"/>
  <c r="F57" i="9" s="1"/>
  <c r="M73" i="2"/>
  <c r="N73" i="2"/>
  <c r="F73" i="9" s="1"/>
  <c r="M57" i="1"/>
  <c r="M49" i="1"/>
  <c r="M41" i="1"/>
  <c r="M33" i="1"/>
  <c r="M25" i="1"/>
  <c r="M17" i="1"/>
  <c r="M9" i="1"/>
  <c r="N61" i="1"/>
  <c r="B61" i="9" s="1"/>
  <c r="N53" i="1"/>
  <c r="B53" i="9" s="1"/>
  <c r="N45" i="1"/>
  <c r="B45" i="9" s="1"/>
  <c r="N37" i="1"/>
  <c r="B37" i="9" s="1"/>
  <c r="N29" i="1"/>
  <c r="B29" i="9" s="1"/>
  <c r="N21" i="1"/>
  <c r="B21" i="9" s="1"/>
  <c r="N13" i="1"/>
  <c r="B13" i="9" s="1"/>
  <c r="N3" i="1"/>
  <c r="B3" i="9" s="1"/>
  <c r="N34" i="3"/>
  <c r="D34" i="9" s="1"/>
  <c r="N25" i="3"/>
  <c r="D25" i="9" s="1"/>
  <c r="N16" i="3"/>
  <c r="D16" i="9" s="1"/>
  <c r="M7" i="3"/>
  <c r="M2" i="2"/>
  <c r="M11" i="2"/>
  <c r="M20" i="2"/>
  <c r="N29" i="2"/>
  <c r="F29" i="9" s="1"/>
  <c r="M34" i="2"/>
  <c r="N21" i="4"/>
  <c r="H21" i="9" s="1"/>
  <c r="N12" i="4"/>
  <c r="H12" i="9" s="1"/>
  <c r="M3" i="4"/>
  <c r="M6" i="5"/>
  <c r="M15" i="5"/>
  <c r="M2" i="6"/>
  <c r="M11" i="6"/>
  <c r="M21" i="6"/>
  <c r="N14" i="6"/>
  <c r="L14" i="9" s="1"/>
  <c r="N5" i="6"/>
  <c r="L5" i="9" s="1"/>
  <c r="M5" i="7"/>
  <c r="M14" i="7"/>
  <c r="N72" i="2"/>
  <c r="F72" i="9" s="1"/>
  <c r="N63" i="2"/>
  <c r="F63" i="9" s="1"/>
  <c r="M54" i="2"/>
  <c r="M45" i="2"/>
  <c r="M56" i="1"/>
  <c r="M48" i="1"/>
  <c r="M40" i="1"/>
  <c r="M32" i="1"/>
  <c r="M24" i="1"/>
  <c r="M16" i="1"/>
  <c r="M8" i="1"/>
  <c r="N60" i="1"/>
  <c r="B60" i="9" s="1"/>
  <c r="N52" i="1"/>
  <c r="B52" i="9" s="1"/>
  <c r="N44" i="1"/>
  <c r="B44" i="9" s="1"/>
  <c r="N36" i="1"/>
  <c r="B36" i="9" s="1"/>
  <c r="N28" i="1"/>
  <c r="B28" i="9" s="1"/>
  <c r="N20" i="1"/>
  <c r="B20" i="9" s="1"/>
  <c r="N11" i="1"/>
  <c r="B11" i="9" s="1"/>
  <c r="M2" i="3"/>
  <c r="N29" i="3"/>
  <c r="D29" i="9" s="1"/>
  <c r="N20" i="3"/>
  <c r="D20" i="9" s="1"/>
  <c r="M11" i="3"/>
  <c r="N6" i="3"/>
  <c r="D6" i="9" s="1"/>
  <c r="M7" i="2"/>
  <c r="M16" i="2"/>
  <c r="N25" i="2"/>
  <c r="F25" i="9" s="1"/>
  <c r="M30" i="2"/>
  <c r="N25" i="4"/>
  <c r="H25" i="9" s="1"/>
  <c r="N16" i="4"/>
  <c r="H16" i="9" s="1"/>
  <c r="M7" i="4"/>
  <c r="M2" i="5"/>
  <c r="M11" i="5"/>
  <c r="M20" i="5"/>
  <c r="M3" i="6"/>
  <c r="M13" i="6"/>
  <c r="N4" i="6"/>
  <c r="L4" i="9" s="1"/>
  <c r="M10" i="7"/>
  <c r="N19" i="7"/>
  <c r="N19" i="9" s="1"/>
  <c r="N62" i="2"/>
  <c r="F62" i="9" s="1"/>
  <c r="N53" i="2"/>
  <c r="F53" i="9" s="1"/>
  <c r="N44" i="2"/>
  <c r="F44" i="9" s="1"/>
  <c r="M43" i="2"/>
  <c r="N43" i="2"/>
  <c r="F43" i="9" s="1"/>
  <c r="M59" i="2"/>
  <c r="N59" i="2"/>
  <c r="F59" i="9" s="1"/>
  <c r="M55" i="1"/>
  <c r="M47" i="1"/>
  <c r="M39" i="1"/>
  <c r="M31" i="1"/>
  <c r="M23" i="1"/>
  <c r="M15" i="1"/>
  <c r="M7" i="1"/>
  <c r="N59" i="1"/>
  <c r="B59" i="9" s="1"/>
  <c r="N51" i="1"/>
  <c r="B51" i="9" s="1"/>
  <c r="N43" i="1"/>
  <c r="B43" i="9" s="1"/>
  <c r="N35" i="1"/>
  <c r="B35" i="9" s="1"/>
  <c r="N27" i="1"/>
  <c r="B27" i="9" s="1"/>
  <c r="N19" i="1"/>
  <c r="B19" i="9" s="1"/>
  <c r="N33" i="3"/>
  <c r="D33" i="9" s="1"/>
  <c r="N24" i="3"/>
  <c r="D24" i="9" s="1"/>
  <c r="M15" i="3"/>
  <c r="N10" i="3"/>
  <c r="D10" i="9" s="1"/>
  <c r="M3" i="2"/>
  <c r="M12" i="2"/>
  <c r="N21" i="2"/>
  <c r="F21" i="9" s="1"/>
  <c r="M26" i="2"/>
  <c r="M35" i="2"/>
  <c r="N20" i="4"/>
  <c r="H20" i="9" s="1"/>
  <c r="M11" i="4"/>
  <c r="N6" i="4"/>
  <c r="H6" i="9" s="1"/>
  <c r="M7" i="5"/>
  <c r="M16" i="5"/>
  <c r="N12" i="6"/>
  <c r="L12" i="9" s="1"/>
  <c r="M6" i="7"/>
  <c r="N15" i="7"/>
  <c r="N15" i="9" s="1"/>
  <c r="M20" i="7"/>
  <c r="M70" i="2"/>
  <c r="M61" i="2"/>
  <c r="M52" i="2"/>
  <c r="N42" i="2"/>
  <c r="F42" i="9" s="1"/>
  <c r="M6" i="1"/>
  <c r="N37" i="3"/>
  <c r="D37" i="9" s="1"/>
  <c r="N28" i="3"/>
  <c r="D28" i="9" s="1"/>
  <c r="M19" i="3"/>
  <c r="N14" i="3"/>
  <c r="D14" i="9" s="1"/>
  <c r="N5" i="3"/>
  <c r="D5" i="9" s="1"/>
  <c r="M8" i="2"/>
  <c r="N17" i="2"/>
  <c r="F17" i="9" s="1"/>
  <c r="M22" i="2"/>
  <c r="M31" i="2"/>
  <c r="N24" i="4"/>
  <c r="H24" i="9" s="1"/>
  <c r="M15" i="4"/>
  <c r="N10" i="4"/>
  <c r="H10" i="9" s="1"/>
  <c r="M3" i="5"/>
  <c r="M12" i="5"/>
  <c r="N21" i="5"/>
  <c r="J21" i="9" s="1"/>
  <c r="N20" i="6"/>
  <c r="L20" i="9" s="1"/>
  <c r="M2" i="7"/>
  <c r="N11" i="7"/>
  <c r="N11" i="9" s="1"/>
  <c r="M16" i="7"/>
  <c r="N69" i="2"/>
  <c r="F69" i="9" s="1"/>
  <c r="N60" i="2"/>
  <c r="F60" i="9" s="1"/>
  <c r="N51" i="2"/>
  <c r="F51" i="9" s="1"/>
  <c r="N32" i="3"/>
  <c r="D32" i="9" s="1"/>
  <c r="M23" i="3"/>
  <c r="N18" i="3"/>
  <c r="D18" i="9" s="1"/>
  <c r="N9" i="3"/>
  <c r="D9" i="9" s="1"/>
  <c r="M4" i="2"/>
  <c r="N13" i="2"/>
  <c r="F13" i="9" s="1"/>
  <c r="M18" i="2"/>
  <c r="M27" i="2"/>
  <c r="M36" i="2"/>
  <c r="M19" i="4"/>
  <c r="N14" i="4"/>
  <c r="H14" i="9" s="1"/>
  <c r="N5" i="4"/>
  <c r="H5" i="9" s="1"/>
  <c r="M8" i="5"/>
  <c r="N17" i="5"/>
  <c r="J17" i="9" s="1"/>
  <c r="M22" i="5"/>
  <c r="M7" i="6"/>
  <c r="M16" i="6"/>
  <c r="N7" i="7"/>
  <c r="N7" i="9" s="1"/>
  <c r="M12" i="7"/>
  <c r="M21" i="7"/>
  <c r="M68" i="2"/>
  <c r="N58" i="2"/>
  <c r="F58" i="9" s="1"/>
  <c r="N49" i="2"/>
  <c r="F49" i="9" s="1"/>
  <c r="N40" i="2"/>
  <c r="F40" i="9" s="1"/>
  <c r="M50" i="2"/>
  <c r="N50" i="2"/>
  <c r="F50" i="9" s="1"/>
  <c r="M12" i="1"/>
  <c r="M4" i="1"/>
  <c r="N36" i="3"/>
  <c r="D36" i="9" s="1"/>
  <c r="M27" i="3"/>
  <c r="N22" i="3"/>
  <c r="D22" i="9" s="1"/>
  <c r="N13" i="3"/>
  <c r="D13" i="9" s="1"/>
  <c r="N4" i="3"/>
  <c r="D4" i="9" s="1"/>
  <c r="N9" i="2"/>
  <c r="F9" i="9" s="1"/>
  <c r="M14" i="2"/>
  <c r="M23" i="2"/>
  <c r="M32" i="2"/>
  <c r="M23" i="4"/>
  <c r="N18" i="4"/>
  <c r="H18" i="9" s="1"/>
  <c r="N9" i="4"/>
  <c r="H9" i="9" s="1"/>
  <c r="M4" i="5"/>
  <c r="N13" i="5"/>
  <c r="J13" i="9" s="1"/>
  <c r="M18" i="5"/>
  <c r="M8" i="6"/>
  <c r="M17" i="6"/>
  <c r="N18" i="6"/>
  <c r="L18" i="9" s="1"/>
  <c r="N9" i="6"/>
  <c r="L9" i="9" s="1"/>
  <c r="N3" i="7"/>
  <c r="N3" i="9" s="1"/>
  <c r="M8" i="7"/>
  <c r="M17" i="7"/>
  <c r="N67" i="2"/>
  <c r="F67" i="9" s="1"/>
  <c r="M31" i="3"/>
  <c r="N5" i="2"/>
  <c r="F5" i="9" s="1"/>
  <c r="N37" i="2"/>
  <c r="F37" i="9" s="1"/>
  <c r="N9" i="5"/>
  <c r="J9" i="9" s="1"/>
  <c r="N47" i="2"/>
  <c r="F47" i="9" s="1"/>
  <c r="M38" i="2"/>
</calcChain>
</file>

<file path=xl/sharedStrings.xml><?xml version="1.0" encoding="utf-8"?>
<sst xmlns="http://schemas.openxmlformats.org/spreadsheetml/2006/main" count="169" uniqueCount="111">
  <si>
    <t>ARR_DATA(I)</t>
  </si>
  <si>
    <t>Integral(9.534,9.479)</t>
  </si>
  <si>
    <t>Integral(8.554,8.516)</t>
  </si>
  <si>
    <t>Integral(8.519,8.453)</t>
  </si>
  <si>
    <t>Integral(8.444,8.300)</t>
  </si>
  <si>
    <t>Integral(8.249,8.224)</t>
  </si>
  <si>
    <t>Integral(8.214,8.157)</t>
  </si>
  <si>
    <t>Integral(8.153,7.970)</t>
  </si>
  <si>
    <t>Integral(7.932,7.873)</t>
  </si>
  <si>
    <t>Integral(8.292,8.248)</t>
  </si>
  <si>
    <t>Integral(6.773,6.679)</t>
  </si>
  <si>
    <t>Integral(6.100,6.053)</t>
  </si>
  <si>
    <t>Integral(6.005,5.974)</t>
  </si>
  <si>
    <t>Integral(5.968,5.875)</t>
  </si>
  <si>
    <t>Integral(5.836,5.773)</t>
  </si>
  <si>
    <t>Integral(3.848,3.833)</t>
  </si>
  <si>
    <t>Integral(4.047,4.027)</t>
  </si>
  <si>
    <t>Integral(9.702,9.670)</t>
  </si>
  <si>
    <t>Integral(8.728,8.695)</t>
  </si>
  <si>
    <t>Integral(8.695,8.653)</t>
  </si>
  <si>
    <t>Integral(8.555,8.489)</t>
  </si>
  <si>
    <t>Integral(8.469,8.459)</t>
  </si>
  <si>
    <t>Integral(8.450,8.419)</t>
  </si>
  <si>
    <t>Integral(8.361,8.342)</t>
  </si>
  <si>
    <t>Integral(8.289,8.233)</t>
  </si>
  <si>
    <t>Integral(8.110,8.084)</t>
  </si>
  <si>
    <t>Integral(6.300,6.244)</t>
  </si>
  <si>
    <t>Integral(6.190,6.153)</t>
  </si>
  <si>
    <t>Integral(6.151,6.078)</t>
  </si>
  <si>
    <t>Integral(6.000,5.965)</t>
  </si>
  <si>
    <t>Integral(9.713,9.651)</t>
  </si>
  <si>
    <t>Integral(8.723,8.695)</t>
  </si>
  <si>
    <t>Integral(8.691,8.655)</t>
  </si>
  <si>
    <t>Integral(8.553,8.503)</t>
  </si>
  <si>
    <t>Integral(8.471,8.447)</t>
  </si>
  <si>
    <t>Integral(8.447,8.424)</t>
  </si>
  <si>
    <t>Integral(8.366,8.336)</t>
  </si>
  <si>
    <t>Integral(8.288,8.226)</t>
  </si>
  <si>
    <t>Integral(8.113,8.084)</t>
  </si>
  <si>
    <t>Integral(6.907,6.778)</t>
  </si>
  <si>
    <t>Integral(6.341,6.231)</t>
  </si>
  <si>
    <t>Integral(6.192,6.153)</t>
  </si>
  <si>
    <t>Integral(6.152,6.085)</t>
  </si>
  <si>
    <t>Integral(6.011,5.958)</t>
  </si>
  <si>
    <t>Integral(4.056,4.016)</t>
  </si>
  <si>
    <t>Integral(4.104,4.084)</t>
  </si>
  <si>
    <t>Integral(8.771,8.747)</t>
  </si>
  <si>
    <t>Integral(8.743,8.708)</t>
  </si>
  <si>
    <t>Integral(8.603,8.555)</t>
  </si>
  <si>
    <t>Integral(8.528,8.476)</t>
  </si>
  <si>
    <t>Integral(8.413,8.384)</t>
  </si>
  <si>
    <t>Integral(8.352,8.284)</t>
  </si>
  <si>
    <t>Integral(8.169,8.142)</t>
  </si>
  <si>
    <t>Integral(6.353,6.302)</t>
  </si>
  <si>
    <t>Integral(6.244,6.206)</t>
  </si>
  <si>
    <t>Integral(6.204,6.137)</t>
  </si>
  <si>
    <t>Integral(6.062,6.018)</t>
  </si>
  <si>
    <t>Integral(4.102,4.082)</t>
  </si>
  <si>
    <t>Integral(8.769,8.743)</t>
  </si>
  <si>
    <t>Integral(8.740,8.701)</t>
  </si>
  <si>
    <t>Integral(8.614,8.542)</t>
  </si>
  <si>
    <t>Integral(8.526,8.473)</t>
  </si>
  <si>
    <t>Integral(8.416,8.384)</t>
  </si>
  <si>
    <t>Integral(8.347,8.280)</t>
  </si>
  <si>
    <t>Integral(8.168,8.136)</t>
  </si>
  <si>
    <t>Integral(6.237,6.205)</t>
  </si>
  <si>
    <t>Integral(6.200,6.131)</t>
  </si>
  <si>
    <t>Integral(6.058,6.013)</t>
  </si>
  <si>
    <t>Integral(6.359,6.292)</t>
  </si>
  <si>
    <t>Integral(4.170,4.143)</t>
  </si>
  <si>
    <t>Integral(8.829,8.804)</t>
  </si>
  <si>
    <t>Integral(8.805,8.762)</t>
  </si>
  <si>
    <t>Integral(8.670,8.607)</t>
  </si>
  <si>
    <t>Integral(8.593,8.541)</t>
  </si>
  <si>
    <t>Integral(8.474,8.446)</t>
  </si>
  <si>
    <t>Integral(8.436,8.403)</t>
  </si>
  <si>
    <t>Integral(8.413,8.332)</t>
  </si>
  <si>
    <t>Integral(8.236,8.206)</t>
  </si>
  <si>
    <t>Integral(6.303,6.269)</t>
  </si>
  <si>
    <t>Integral(6.267,6.187)</t>
  </si>
  <si>
    <t>Integral(4.171,4.145)</t>
  </si>
  <si>
    <t>Integral(9.805,9.790)</t>
  </si>
  <si>
    <t>Integral(8.837,8.807)</t>
  </si>
  <si>
    <t>Integral(8.806,8.767)</t>
  </si>
  <si>
    <t>Integral(8.678,8.590)</t>
  </si>
  <si>
    <t>Integral(8.586,8.543)</t>
  </si>
  <si>
    <t>Integral(8.473,8.447)</t>
  </si>
  <si>
    <t>Integral(8.419,8.317)</t>
  </si>
  <si>
    <t>Integral(8.240,8.206)</t>
  </si>
  <si>
    <t>Integral(6.303,6.268)</t>
  </si>
  <si>
    <t>Integral(6.266,6.197)</t>
  </si>
  <si>
    <t>Integral(6.396,6.368)</t>
  </si>
  <si>
    <t>Integral(6.116,6.086)</t>
  </si>
  <si>
    <t>SUM</t>
  </si>
  <si>
    <t>f_dec_1</t>
  </si>
  <si>
    <t>f_dec_2</t>
  </si>
  <si>
    <t>f_dec_3</t>
  </si>
  <si>
    <t>20_1</t>
  </si>
  <si>
    <t>37_1</t>
  </si>
  <si>
    <t>time_2</t>
  </si>
  <si>
    <t>time_1</t>
  </si>
  <si>
    <t>time_3</t>
  </si>
  <si>
    <t>37_2</t>
  </si>
  <si>
    <t>time_4</t>
  </si>
  <si>
    <t>42_1</t>
  </si>
  <si>
    <t>time_5</t>
  </si>
  <si>
    <t>42_2</t>
  </si>
  <si>
    <t>time_6</t>
  </si>
  <si>
    <t>48_1</t>
  </si>
  <si>
    <t>time_7</t>
  </si>
  <si>
    <t>48_2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</si>
</sst>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'48_1'!$M$24:$M$43</c:f>
              <c:numCache>
                <c:formatCode>General</c:formatCode>
                <c:ptCount val="20"/>
                <c:pt idx="0">
                  <c:v>0.97731082526341673</c:v>
                </c:pt>
                <c:pt idx="1">
                  <c:v>0.97365721418734164</c:v>
                </c:pt>
                <c:pt idx="2">
                  <c:v>0.97107693306538245</c:v>
                </c:pt>
                <c:pt idx="3">
                  <c:v>0.96761648276636192</c:v>
                </c:pt>
                <c:pt idx="4">
                  <c:v>0.96341322077114055</c:v>
                </c:pt>
                <c:pt idx="5">
                  <c:v>0.9634893373407758</c:v>
                </c:pt>
                <c:pt idx="6">
                  <c:v>0.9625389976330726</c:v>
                </c:pt>
                <c:pt idx="7">
                  <c:v>0.96275516100311387</c:v>
                </c:pt>
                <c:pt idx="8">
                  <c:v>0.96216279862347964</c:v>
                </c:pt>
                <c:pt idx="9">
                  <c:v>0.9601930761435713</c:v>
                </c:pt>
                <c:pt idx="10">
                  <c:v>0.95864533966369414</c:v>
                </c:pt>
                <c:pt idx="11">
                  <c:v>0.9613586514673268</c:v>
                </c:pt>
                <c:pt idx="12">
                  <c:v>0.96073086814421593</c:v>
                </c:pt>
                <c:pt idx="13">
                  <c:v>0.95794765263083848</c:v>
                </c:pt>
                <c:pt idx="14">
                  <c:v>0.96117746741764365</c:v>
                </c:pt>
                <c:pt idx="15">
                  <c:v>0.95352234862996854</c:v>
                </c:pt>
                <c:pt idx="16">
                  <c:v>0.95563976346828861</c:v>
                </c:pt>
                <c:pt idx="17">
                  <c:v>0.96088912202961085</c:v>
                </c:pt>
                <c:pt idx="18">
                  <c:v>0.95773293349510824</c:v>
                </c:pt>
                <c:pt idx="19">
                  <c:v>0.95970462524337963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6-F044-8815-3078B3783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537776"/>
        <c:axId val="503539488"/>
      </c:scatterChart>
      <c:valAx>
        <c:axId val="50353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539488"/>
        <c:crosses val="autoZero"/>
        <c:crossBetween val="midCat"/>
      </c:valAx>
      <c:valAx>
        <c:axId val="50353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53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20</xdr:row>
      <xdr:rowOff>107950</xdr:rowOff>
    </xdr:from>
    <xdr:to>
      <xdr:col>10</xdr:col>
      <xdr:colOff>749300</xdr:colOff>
      <xdr:row>34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AE7D4C-059B-C7AC-9500-B5326C3BA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10E5-37B4-AC46-86D2-B897F72559E3}">
  <dimension ref="A1:N73"/>
  <sheetViews>
    <sheetView workbookViewId="0">
      <selection activeCell="A5" sqref="A5:B61"/>
    </sheetView>
  </sheetViews>
  <sheetFormatPr baseColWidth="10" defaultRowHeight="16" x14ac:dyDescent="0.2"/>
  <sheetData>
    <row r="1" spans="1:14" x14ac:dyDescent="0.2">
      <c r="A1" t="s">
        <v>100</v>
      </c>
      <c r="B1" t="s">
        <v>97</v>
      </c>
      <c r="C1" t="s">
        <v>99</v>
      </c>
      <c r="D1" t="s">
        <v>98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</row>
    <row r="2" spans="1:14" x14ac:dyDescent="0.2">
      <c r="A2">
        <f>'20_1'!A64</f>
        <v>978</v>
      </c>
      <c r="B2">
        <f>'20_1'!M64</f>
        <v>0.92627837060278928</v>
      </c>
      <c r="C2">
        <f>'37_1'!A40</f>
        <v>483</v>
      </c>
      <c r="D2">
        <f>'37_1'!M40</f>
        <v>0.96785221329719096</v>
      </c>
      <c r="E2">
        <f>'37_2'!A76</f>
        <v>433</v>
      </c>
      <c r="F2">
        <f>'37_2'!M76</f>
        <v>0.99294786948533509</v>
      </c>
      <c r="G2">
        <f>'42_1'!A28</f>
        <v>490</v>
      </c>
      <c r="H2">
        <f>'42_1'!M28</f>
        <v>0.97511308826073961</v>
      </c>
      <c r="I2">
        <f>'42_2'!A26</f>
        <v>404</v>
      </c>
      <c r="J2">
        <f>'42_2'!M26</f>
        <v>0.98283064796592612</v>
      </c>
      <c r="K2">
        <v>288</v>
      </c>
      <c r="L2">
        <v>0.97731082526341673</v>
      </c>
      <c r="M2">
        <f>'48_2'!A24</f>
        <v>365</v>
      </c>
      <c r="N2">
        <f>'48_2'!M24</f>
        <v>0.98088242805037973</v>
      </c>
    </row>
    <row r="3" spans="1:14" x14ac:dyDescent="0.2">
      <c r="A3">
        <f>'20_1'!A65</f>
        <v>1581</v>
      </c>
      <c r="B3">
        <f>'20_1'!M65</f>
        <v>0.93404895187648795</v>
      </c>
      <c r="C3">
        <f>'37_1'!A41</f>
        <v>635</v>
      </c>
      <c r="D3">
        <f>'37_1'!M41</f>
        <v>0.95668219300311663</v>
      </c>
      <c r="E3">
        <f>'37_2'!A77</f>
        <v>585</v>
      </c>
      <c r="F3">
        <f>'37_2'!M77</f>
        <v>0.9772024686631865</v>
      </c>
      <c r="G3">
        <f>'42_1'!A29</f>
        <v>612</v>
      </c>
      <c r="H3">
        <f>'42_1'!M29</f>
        <v>0.96648517155212021</v>
      </c>
      <c r="I3">
        <f>'42_2'!A27</f>
        <v>526</v>
      </c>
      <c r="J3">
        <f>'42_2'!M27</f>
        <v>0.98680189892827075</v>
      </c>
      <c r="K3">
        <v>380</v>
      </c>
      <c r="L3">
        <v>0.97365721418734164</v>
      </c>
      <c r="M3">
        <f>'48_2'!A25</f>
        <v>456</v>
      </c>
      <c r="N3">
        <f>'48_2'!M25</f>
        <v>0.97706904761363345</v>
      </c>
    </row>
    <row r="4" spans="1:14" x14ac:dyDescent="0.2">
      <c r="A4">
        <f>'20_1'!A66</f>
        <v>2183</v>
      </c>
      <c r="B4">
        <f>'20_1'!M66</f>
        <v>0.94313684577657608</v>
      </c>
      <c r="C4">
        <f>'37_1'!A42</f>
        <v>787</v>
      </c>
      <c r="D4">
        <f>'37_1'!M42</f>
        <v>0.95335946770820479</v>
      </c>
      <c r="E4">
        <f>'37_2'!A78</f>
        <v>737</v>
      </c>
      <c r="F4">
        <f>'37_2'!M78</f>
        <v>0.97341622807937578</v>
      </c>
      <c r="G4">
        <f>'42_1'!A30</f>
        <v>734</v>
      </c>
      <c r="H4">
        <f>'42_1'!M30</f>
        <v>0.96280303160504022</v>
      </c>
      <c r="I4">
        <f>'42_2'!A28</f>
        <v>648</v>
      </c>
      <c r="J4">
        <f>'42_2'!M28</f>
        <v>0.96886905461511263</v>
      </c>
      <c r="K4">
        <v>472</v>
      </c>
      <c r="L4">
        <v>0.97107693306538245</v>
      </c>
      <c r="M4">
        <f>'48_2'!A26</f>
        <v>548</v>
      </c>
      <c r="N4">
        <f>'48_2'!M26</f>
        <v>0.96885986893004283</v>
      </c>
    </row>
    <row r="5" spans="1:14" x14ac:dyDescent="0.2">
      <c r="A5">
        <f>'20_1'!A67</f>
        <v>2786</v>
      </c>
      <c r="B5">
        <f>'20_1'!M67</f>
        <v>0.99080119350761031</v>
      </c>
      <c r="C5">
        <f>'37_1'!A43</f>
        <v>939</v>
      </c>
      <c r="D5">
        <f>'37_1'!M43</f>
        <v>0.94712662389955038</v>
      </c>
      <c r="E5">
        <f>'37_2'!A79</f>
        <v>889</v>
      </c>
      <c r="F5">
        <f>'37_2'!M79</f>
        <v>0.96562862459933729</v>
      </c>
      <c r="G5">
        <f>'42_1'!A31</f>
        <v>856</v>
      </c>
      <c r="H5">
        <f>'42_1'!M31</f>
        <v>0.96380006328819912</v>
      </c>
      <c r="I5">
        <f>'42_2'!A29</f>
        <v>770</v>
      </c>
      <c r="J5">
        <f>'42_2'!M29</f>
        <v>0.96236357685333396</v>
      </c>
      <c r="K5">
        <v>564</v>
      </c>
      <c r="L5">
        <v>0.96761648276636192</v>
      </c>
      <c r="M5">
        <f>'48_2'!A27</f>
        <v>640</v>
      </c>
      <c r="N5">
        <f>'48_2'!M27</f>
        <v>0.96458884557925617</v>
      </c>
    </row>
    <row r="6" spans="1:14" x14ac:dyDescent="0.2">
      <c r="A6">
        <f>'20_1'!A68</f>
        <v>3389</v>
      </c>
      <c r="B6">
        <f>'20_1'!M68</f>
        <v>0.98963106998746198</v>
      </c>
      <c r="C6">
        <f>'37_1'!A44</f>
        <v>1090</v>
      </c>
      <c r="D6">
        <f>'37_1'!M44</f>
        <v>0.94769980887998073</v>
      </c>
      <c r="E6">
        <f>'37_2'!A80</f>
        <v>1040</v>
      </c>
      <c r="F6">
        <f>'37_2'!M80</f>
        <v>0.96170430369432158</v>
      </c>
      <c r="G6">
        <f>'42_1'!A32</f>
        <v>977</v>
      </c>
      <c r="H6">
        <f>'42_1'!M32</f>
        <v>0.95410835008077166</v>
      </c>
      <c r="I6">
        <f>'42_2'!A30</f>
        <v>892</v>
      </c>
      <c r="J6">
        <f>'42_2'!M30</f>
        <v>0.96331106663829802</v>
      </c>
      <c r="K6">
        <v>656</v>
      </c>
      <c r="L6">
        <v>0.96341322077114055</v>
      </c>
      <c r="M6">
        <f>'48_2'!A28</f>
        <v>732</v>
      </c>
      <c r="N6">
        <f>'48_2'!M28</f>
        <v>0.96688114457121577</v>
      </c>
    </row>
    <row r="7" spans="1:14" x14ac:dyDescent="0.2">
      <c r="A7">
        <f>'20_1'!A69</f>
        <v>3992</v>
      </c>
      <c r="B7">
        <f>'20_1'!M69</f>
        <v>0.9895246101045877</v>
      </c>
      <c r="C7">
        <f>'37_1'!A45</f>
        <v>1242</v>
      </c>
      <c r="D7">
        <f>'37_1'!M45</f>
        <v>0.94233065783622938</v>
      </c>
      <c r="E7">
        <f>'37_2'!A81</f>
        <v>1192</v>
      </c>
      <c r="F7">
        <f>'37_2'!M81</f>
        <v>0.95604652919070743</v>
      </c>
      <c r="G7">
        <f>'42_1'!A33</f>
        <v>1099</v>
      </c>
      <c r="H7">
        <f>'42_1'!M33</f>
        <v>0.9487333779674022</v>
      </c>
      <c r="I7">
        <f>'42_2'!A31</f>
        <v>1014</v>
      </c>
      <c r="J7">
        <f>'42_2'!M31</f>
        <v>0.96390781683506332</v>
      </c>
      <c r="K7">
        <v>747</v>
      </c>
      <c r="L7">
        <v>0.9634893373407758</v>
      </c>
      <c r="M7">
        <f>'48_2'!A29</f>
        <v>824</v>
      </c>
      <c r="N7">
        <f>'48_2'!M29</f>
        <v>0.97072658998636663</v>
      </c>
    </row>
    <row r="8" spans="1:14" x14ac:dyDescent="0.2">
      <c r="A8">
        <f>'20_1'!A70</f>
        <v>4595</v>
      </c>
      <c r="B8">
        <f>'20_1'!M70</f>
        <v>0.99022902498620002</v>
      </c>
      <c r="C8">
        <f>'37_1'!A46</f>
        <v>1394</v>
      </c>
      <c r="D8">
        <f>'37_1'!M46</f>
        <v>0.93880833353058213</v>
      </c>
      <c r="E8">
        <f>'37_2'!A82</f>
        <v>1344</v>
      </c>
      <c r="F8">
        <f>'37_2'!M82</f>
        <v>0.96096856812951947</v>
      </c>
      <c r="G8">
        <f>'42_1'!A34</f>
        <v>1221</v>
      </c>
      <c r="H8">
        <f>'42_1'!M34</f>
        <v>0.95401248236611624</v>
      </c>
      <c r="I8">
        <f>'42_2'!A32</f>
        <v>1136</v>
      </c>
      <c r="J8">
        <f>'42_2'!M32</f>
        <v>0.96313232759339829</v>
      </c>
      <c r="K8">
        <v>839</v>
      </c>
      <c r="L8">
        <v>0.9625389976330726</v>
      </c>
      <c r="M8">
        <f>'48_2'!A30</f>
        <v>916</v>
      </c>
      <c r="N8">
        <f>'48_2'!M30</f>
        <v>0.95975575474828889</v>
      </c>
    </row>
    <row r="9" spans="1:14" x14ac:dyDescent="0.2">
      <c r="A9">
        <f>'20_1'!A71</f>
        <v>5197</v>
      </c>
      <c r="B9">
        <f>'20_1'!M71</f>
        <v>0.98823147639965581</v>
      </c>
      <c r="C9">
        <f>'37_1'!A47</f>
        <v>1546</v>
      </c>
      <c r="D9">
        <f>'37_1'!M47</f>
        <v>0.93976682339275108</v>
      </c>
      <c r="E9">
        <f>'37_2'!A83</f>
        <v>1496</v>
      </c>
      <c r="F9">
        <f>'37_2'!M83</f>
        <v>0.95348747990214966</v>
      </c>
      <c r="G9">
        <f>'42_1'!A35</f>
        <v>1343</v>
      </c>
      <c r="H9">
        <f>'42_1'!M35</f>
        <v>0.95351455839010668</v>
      </c>
      <c r="I9">
        <f>'42_2'!A33</f>
        <v>1257</v>
      </c>
      <c r="J9">
        <f>'42_2'!M33</f>
        <v>0.95805022960800468</v>
      </c>
      <c r="K9">
        <v>931</v>
      </c>
      <c r="L9">
        <v>0.96275516100311387</v>
      </c>
      <c r="M9">
        <f>'48_2'!A31</f>
        <v>1008</v>
      </c>
      <c r="N9">
        <f>'48_2'!M31</f>
        <v>0.96841144501203269</v>
      </c>
    </row>
    <row r="10" spans="1:14" x14ac:dyDescent="0.2">
      <c r="A10">
        <f>'20_1'!A72</f>
        <v>5800</v>
      </c>
      <c r="B10">
        <f>'20_1'!M72</f>
        <v>0.9889285577910486</v>
      </c>
      <c r="C10">
        <f>'37_1'!A48</f>
        <v>1698</v>
      </c>
      <c r="D10">
        <f>'37_1'!M48</f>
        <v>0.9368157715277956</v>
      </c>
      <c r="E10">
        <f>'37_2'!A84</f>
        <v>1648</v>
      </c>
      <c r="F10">
        <f>'37_2'!M84</f>
        <v>0.95550882521352254</v>
      </c>
      <c r="G10">
        <f>'42_1'!A36</f>
        <v>1465</v>
      </c>
      <c r="H10">
        <f>'42_1'!M36</f>
        <v>0.95354598822249081</v>
      </c>
      <c r="I10">
        <f>'42_2'!A34</f>
        <v>1379</v>
      </c>
      <c r="J10">
        <f>'42_2'!M34</f>
        <v>0.95344633593651285</v>
      </c>
      <c r="K10">
        <v>1023</v>
      </c>
      <c r="L10">
        <v>0.96216279862347964</v>
      </c>
      <c r="M10">
        <f>'48_2'!A32</f>
        <v>1099</v>
      </c>
      <c r="N10">
        <f>'48_2'!M32</f>
        <v>0.96207184647222488</v>
      </c>
    </row>
    <row r="11" spans="1:14" x14ac:dyDescent="0.2">
      <c r="A11">
        <f>'20_1'!A73</f>
        <v>6403</v>
      </c>
      <c r="B11">
        <f>'20_1'!M73</f>
        <v>0.98903890991061028</v>
      </c>
      <c r="C11">
        <f>'37_1'!A49</f>
        <v>1850</v>
      </c>
      <c r="D11">
        <f>'37_1'!M49</f>
        <v>0.93587409467782323</v>
      </c>
      <c r="E11">
        <f>'37_2'!A85</f>
        <v>1800</v>
      </c>
      <c r="F11">
        <f>'37_2'!M85</f>
        <v>0.95553625878488646</v>
      </c>
      <c r="G11">
        <f>'42_1'!A37</f>
        <v>1587</v>
      </c>
      <c r="H11">
        <f>'42_1'!M37</f>
        <v>0.94990651986382213</v>
      </c>
      <c r="I11">
        <f>'42_2'!A35</f>
        <v>1501</v>
      </c>
      <c r="J11">
        <f>'42_2'!M35</f>
        <v>0.9516295365227706</v>
      </c>
      <c r="K11">
        <v>1115</v>
      </c>
      <c r="L11">
        <v>0.9601930761435713</v>
      </c>
      <c r="M11">
        <f>'48_2'!A33</f>
        <v>1191</v>
      </c>
      <c r="N11">
        <f>'48_2'!M33</f>
        <v>0.96822390838327843</v>
      </c>
    </row>
    <row r="12" spans="1:14" x14ac:dyDescent="0.2">
      <c r="A12">
        <f>'20_1'!A74</f>
        <v>7006</v>
      </c>
      <c r="B12">
        <f>'20_1'!M74</f>
        <v>0.98769534211663179</v>
      </c>
      <c r="C12">
        <f>'37_1'!A50</f>
        <v>2002</v>
      </c>
      <c r="D12">
        <f>'37_1'!M50</f>
        <v>0.93464263463949115</v>
      </c>
      <c r="E12">
        <f>'37_2'!A86</f>
        <v>1951</v>
      </c>
      <c r="F12">
        <f>'37_2'!M86</f>
        <v>0.95098889682196008</v>
      </c>
      <c r="G12">
        <f>'42_1'!A38</f>
        <v>1709</v>
      </c>
      <c r="H12">
        <f>'42_1'!M38</f>
        <v>0.9520297321101806</v>
      </c>
      <c r="I12">
        <f>'42_2'!A36</f>
        <v>1623</v>
      </c>
      <c r="J12">
        <f>'42_2'!M36</f>
        <v>0.95411775074257588</v>
      </c>
      <c r="K12">
        <v>1207</v>
      </c>
      <c r="L12">
        <v>0.95864533966369414</v>
      </c>
      <c r="M12">
        <f>'48_2'!A34</f>
        <v>1283</v>
      </c>
      <c r="N12">
        <f>'48_2'!M34</f>
        <v>0.96114033204376659</v>
      </c>
    </row>
    <row r="13" spans="1:14" x14ac:dyDescent="0.2">
      <c r="A13">
        <f>'20_1'!A75</f>
        <v>7608</v>
      </c>
      <c r="B13">
        <f>'20_1'!M75</f>
        <v>0.98876880584976945</v>
      </c>
      <c r="C13">
        <f>'37_1'!A51</f>
        <v>2153</v>
      </c>
      <c r="D13">
        <f>'37_1'!M51</f>
        <v>0.93194280802132223</v>
      </c>
      <c r="E13">
        <f>'37_2'!A87</f>
        <v>2103</v>
      </c>
      <c r="F13">
        <f>'37_2'!M87</f>
        <v>0.95312133655232045</v>
      </c>
      <c r="G13">
        <f>'42_1'!A39</f>
        <v>1830</v>
      </c>
      <c r="H13">
        <f>'42_1'!M39</f>
        <v>0.9537958355043521</v>
      </c>
      <c r="I13">
        <f>'42_2'!A37</f>
        <v>1745</v>
      </c>
      <c r="J13">
        <f>'42_2'!M37</f>
        <v>0.95407389244031227</v>
      </c>
      <c r="K13">
        <v>1299</v>
      </c>
      <c r="L13">
        <v>0.9613586514673268</v>
      </c>
      <c r="M13">
        <f>'48_2'!A35</f>
        <v>1375</v>
      </c>
      <c r="N13">
        <f>'48_2'!M35</f>
        <v>0.96333919449372551</v>
      </c>
    </row>
    <row r="14" spans="1:14" x14ac:dyDescent="0.2">
      <c r="A14">
        <f>'20_1'!A76</f>
        <v>8211</v>
      </c>
      <c r="B14">
        <f>'20_1'!M76</f>
        <v>0.98774659845741797</v>
      </c>
      <c r="C14">
        <f>'37_1'!A52</f>
        <v>2305</v>
      </c>
      <c r="D14">
        <f>'37_1'!M52</f>
        <v>0.91745792749118094</v>
      </c>
      <c r="E14">
        <f>'37_2'!A88</f>
        <v>2255</v>
      </c>
      <c r="F14">
        <f>'37_2'!M88</f>
        <v>0.95240830102763485</v>
      </c>
      <c r="G14">
        <f>'42_1'!A40</f>
        <v>1952</v>
      </c>
      <c r="H14">
        <f>'42_1'!M40</f>
        <v>0.95255950282001056</v>
      </c>
      <c r="I14">
        <f>'42_2'!A38</f>
        <v>1867</v>
      </c>
      <c r="J14">
        <f>'42_2'!M38</f>
        <v>0.94795056007666867</v>
      </c>
      <c r="K14">
        <v>1390</v>
      </c>
      <c r="L14">
        <v>0.96073086814421593</v>
      </c>
      <c r="M14">
        <f>'48_2'!A36</f>
        <v>1467</v>
      </c>
      <c r="N14">
        <f>'48_2'!M36</f>
        <v>0.96295187911501434</v>
      </c>
    </row>
    <row r="15" spans="1:14" x14ac:dyDescent="0.2">
      <c r="A15">
        <f>'20_1'!A77</f>
        <v>8814</v>
      </c>
      <c r="B15">
        <f>'20_1'!M77</f>
        <v>0.98684320126834546</v>
      </c>
      <c r="C15">
        <f>'37_1'!A53</f>
        <v>2457</v>
      </c>
      <c r="D15">
        <f>'37_1'!M53</f>
        <v>0.92582868244832672</v>
      </c>
      <c r="E15">
        <f>'37_2'!A89</f>
        <v>2407</v>
      </c>
      <c r="F15">
        <f>'37_2'!M89</f>
        <v>0.94609503446481036</v>
      </c>
      <c r="G15">
        <f>'42_1'!A41</f>
        <v>2074</v>
      </c>
      <c r="H15">
        <f>'42_1'!M41</f>
        <v>0.94971519991483178</v>
      </c>
      <c r="I15">
        <f>'42_2'!A39</f>
        <v>1989</v>
      </c>
      <c r="J15">
        <f>'42_2'!M39</f>
        <v>0.94880705470867588</v>
      </c>
      <c r="K15">
        <v>1482</v>
      </c>
      <c r="L15">
        <v>0.95794765263083848</v>
      </c>
      <c r="M15">
        <f>'48_2'!A37</f>
        <v>1559</v>
      </c>
      <c r="N15">
        <f>'48_2'!M37</f>
        <v>0.96624150210531801</v>
      </c>
    </row>
    <row r="16" spans="1:14" x14ac:dyDescent="0.2">
      <c r="A16">
        <f>'20_1'!A78</f>
        <v>9417</v>
      </c>
      <c r="B16">
        <f>'20_1'!M78</f>
        <v>0.98684664504342856</v>
      </c>
      <c r="C16">
        <f>'37_1'!A54</f>
        <v>2609</v>
      </c>
      <c r="D16">
        <f>'37_1'!M54</f>
        <v>0.92260045172522887</v>
      </c>
      <c r="E16">
        <f>'37_2'!A90</f>
        <v>2559</v>
      </c>
      <c r="F16">
        <f>'37_2'!M90</f>
        <v>0.9537657091128604</v>
      </c>
      <c r="G16">
        <f>'42_1'!A42</f>
        <v>2196</v>
      </c>
      <c r="H16">
        <f>'42_1'!M42</f>
        <v>0.94783907336607287</v>
      </c>
      <c r="I16">
        <f>'42_2'!A40</f>
        <v>2110</v>
      </c>
      <c r="J16">
        <f>'42_2'!M40</f>
        <v>0.94966281789549334</v>
      </c>
      <c r="K16">
        <v>1574</v>
      </c>
      <c r="L16">
        <v>0.96117746741764365</v>
      </c>
      <c r="M16">
        <f>'48_2'!A38</f>
        <v>1650</v>
      </c>
      <c r="N16">
        <f>'48_2'!M38</f>
        <v>0.95985133063765093</v>
      </c>
    </row>
    <row r="17" spans="1:14" x14ac:dyDescent="0.2">
      <c r="A17">
        <f>'20_1'!A79</f>
        <v>10019</v>
      </c>
      <c r="B17">
        <f>'20_1'!M79</f>
        <v>0.98588857132760721</v>
      </c>
      <c r="C17">
        <f>'37_1'!A55</f>
        <v>2761</v>
      </c>
      <c r="D17">
        <f>'37_1'!M55</f>
        <v>0.92111389262862708</v>
      </c>
      <c r="E17">
        <f>'37_2'!A91</f>
        <v>2711</v>
      </c>
      <c r="F17">
        <f>'37_2'!M91</f>
        <v>0.94287693208348644</v>
      </c>
      <c r="G17">
        <f>'42_1'!A43</f>
        <v>2318</v>
      </c>
      <c r="H17">
        <f>'42_1'!M43</f>
        <v>0.9451410665469272</v>
      </c>
      <c r="I17">
        <f>'42_2'!A41</f>
        <v>2232</v>
      </c>
      <c r="J17">
        <f>'42_2'!M41</f>
        <v>0.94705406591596275</v>
      </c>
      <c r="K17">
        <v>1666</v>
      </c>
      <c r="L17">
        <v>0.95352234862996854</v>
      </c>
      <c r="M17">
        <f>'48_2'!A39</f>
        <v>1742</v>
      </c>
      <c r="N17">
        <f>'48_2'!M39</f>
        <v>0.95011709795918808</v>
      </c>
    </row>
    <row r="18" spans="1:14" x14ac:dyDescent="0.2">
      <c r="A18">
        <f>'20_1'!A80</f>
        <v>10622</v>
      </c>
      <c r="B18">
        <f>'20_1'!M80</f>
        <v>0.98554958944316295</v>
      </c>
      <c r="C18">
        <f>'37_1'!A56</f>
        <v>2913</v>
      </c>
      <c r="D18">
        <f>'37_1'!M56</f>
        <v>0.91365841767003975</v>
      </c>
      <c r="E18">
        <f>'37_2'!A92</f>
        <v>2862</v>
      </c>
      <c r="F18">
        <f>'37_2'!M92</f>
        <v>0.94320778154688301</v>
      </c>
      <c r="G18">
        <f>'42_1'!A44</f>
        <v>2440</v>
      </c>
      <c r="H18">
        <f>'42_1'!M44</f>
        <v>0.947602741913806</v>
      </c>
      <c r="I18">
        <f>'42_2'!A42</f>
        <v>2354</v>
      </c>
      <c r="J18">
        <f>'42_2'!M42</f>
        <v>0.94474756726155762</v>
      </c>
      <c r="K18">
        <v>1758</v>
      </c>
      <c r="L18">
        <v>0.95563976346828861</v>
      </c>
      <c r="M18">
        <f>'48_2'!A40</f>
        <v>1834</v>
      </c>
      <c r="N18">
        <f>'48_2'!M40</f>
        <v>0.96643254418151914</v>
      </c>
    </row>
    <row r="19" spans="1:14" x14ac:dyDescent="0.2">
      <c r="A19">
        <f>'20_1'!A81</f>
        <v>11225</v>
      </c>
      <c r="B19">
        <f>'20_1'!M81</f>
        <v>0.98542942319597826</v>
      </c>
      <c r="C19">
        <f>'37_1'!A57</f>
        <v>3065</v>
      </c>
      <c r="D19">
        <f>'37_1'!M57</f>
        <v>0.92744445177304202</v>
      </c>
      <c r="E19">
        <f>'37_2'!A93</f>
        <v>3014</v>
      </c>
      <c r="F19">
        <f>'37_2'!M93</f>
        <v>0.94542598630994656</v>
      </c>
      <c r="G19">
        <f>'42_1'!A45</f>
        <v>2562</v>
      </c>
      <c r="H19">
        <f>'42_1'!M45</f>
        <v>0.9460583397445923</v>
      </c>
      <c r="I19">
        <f>'42_2'!A43</f>
        <v>2476</v>
      </c>
      <c r="J19">
        <f>'42_2'!M43</f>
        <v>0.95012202759830167</v>
      </c>
      <c r="K19">
        <v>1850</v>
      </c>
      <c r="L19">
        <v>0.96088912202961085</v>
      </c>
      <c r="M19">
        <f>'48_2'!A41</f>
        <v>1926</v>
      </c>
      <c r="N19">
        <f>'48_2'!M41</f>
        <v>0.95920847333660442</v>
      </c>
    </row>
    <row r="20" spans="1:14" x14ac:dyDescent="0.2">
      <c r="A20">
        <f>'20_1'!A82</f>
        <v>11828</v>
      </c>
      <c r="B20">
        <f>'20_1'!M82</f>
        <v>0.98524870973723655</v>
      </c>
      <c r="C20">
        <f>'37_1'!A58</f>
        <v>3216</v>
      </c>
      <c r="D20">
        <f>'37_1'!M58</f>
        <v>0.92502102831257549</v>
      </c>
      <c r="E20">
        <f>'37_2'!A94</f>
        <v>3166</v>
      </c>
      <c r="F20">
        <f>'37_2'!M94</f>
        <v>0.94134865055848549</v>
      </c>
      <c r="G20">
        <f>'42_1'!A46</f>
        <v>2683</v>
      </c>
      <c r="H20">
        <f>'42_1'!M46</f>
        <v>0.9455561130223461</v>
      </c>
      <c r="I20">
        <f>'42_2'!A44</f>
        <v>2598</v>
      </c>
      <c r="J20">
        <f>'42_2'!M44</f>
        <v>0.95069591150748722</v>
      </c>
      <c r="K20">
        <v>1941</v>
      </c>
      <c r="L20">
        <v>0.95773293349510824</v>
      </c>
      <c r="M20">
        <f>'48_2'!A42</f>
        <v>2018</v>
      </c>
      <c r="N20">
        <f>'48_2'!M42</f>
        <v>0.959964797295218</v>
      </c>
    </row>
    <row r="21" spans="1:14" x14ac:dyDescent="0.2">
      <c r="A21">
        <f>'20_1'!A83</f>
        <v>12431</v>
      </c>
      <c r="B21">
        <f>'20_1'!M83</f>
        <v>0.98480632790929712</v>
      </c>
      <c r="C21">
        <f>'37_1'!A59</f>
        <v>3368</v>
      </c>
      <c r="D21">
        <f>'37_1'!M59</f>
        <v>0.92723822720067928</v>
      </c>
      <c r="E21">
        <f>'37_2'!A95</f>
        <v>3318</v>
      </c>
      <c r="F21">
        <f>'37_2'!M95</f>
        <v>0.93999802393907228</v>
      </c>
      <c r="G21">
        <f>'42_1'!A47</f>
        <v>2805</v>
      </c>
      <c r="H21">
        <f>'42_1'!M47</f>
        <v>0.9478709888601462</v>
      </c>
      <c r="I21">
        <f>'42_2'!A45</f>
        <v>2720</v>
      </c>
      <c r="J21">
        <f>'42_2'!M45</f>
        <v>0.94990324754510136</v>
      </c>
      <c r="K21">
        <v>2033</v>
      </c>
      <c r="L21">
        <v>0.95970462524337963</v>
      </c>
      <c r="M21">
        <f>'48_2'!A43</f>
        <v>2110</v>
      </c>
      <c r="N21">
        <f>'48_2'!M43</f>
        <v>0.93911082696678116</v>
      </c>
    </row>
    <row r="22" spans="1:14" x14ac:dyDescent="0.2">
      <c r="A22">
        <f>'20_1'!A84</f>
        <v>13033</v>
      </c>
      <c r="B22">
        <f>'20_1'!M84</f>
        <v>0.98472230813358386</v>
      </c>
      <c r="C22">
        <f>'37_1'!A60</f>
        <v>3520</v>
      </c>
      <c r="D22">
        <f>'37_1'!M60</f>
        <v>0.92810438918382154</v>
      </c>
      <c r="E22">
        <f>'37_2'!A96</f>
        <v>3470</v>
      </c>
      <c r="F22">
        <f>'37_2'!M96</f>
        <v>0.9431919576219201</v>
      </c>
      <c r="G22">
        <f>'42_1'!A48</f>
        <v>2927</v>
      </c>
      <c r="H22">
        <f>'42_1'!M48</f>
        <v>0.94586561790354762</v>
      </c>
      <c r="I22">
        <f>'42_2'!A46</f>
        <v>2842</v>
      </c>
      <c r="J22">
        <f>'42_2'!M46</f>
        <v>0.94291822853804796</v>
      </c>
    </row>
    <row r="23" spans="1:14" x14ac:dyDescent="0.2">
      <c r="A23">
        <f>'20_1'!A85</f>
        <v>13636</v>
      </c>
      <c r="B23">
        <f>'20_1'!M85</f>
        <v>0.98431446329107652</v>
      </c>
      <c r="C23">
        <f>'37_1'!A61</f>
        <v>3672</v>
      </c>
      <c r="D23">
        <f>'37_1'!M61</f>
        <v>0.92565164414136536</v>
      </c>
      <c r="E23">
        <f>'37_2'!A97</f>
        <v>3622</v>
      </c>
      <c r="F23">
        <f>'37_2'!M97</f>
        <v>0.94475529387438228</v>
      </c>
      <c r="G23">
        <f>'42_1'!A49</f>
        <v>3049</v>
      </c>
      <c r="H23">
        <f>'42_1'!M49</f>
        <v>0.94422328490857754</v>
      </c>
      <c r="I23">
        <f>'42_2'!A47</f>
        <v>2963</v>
      </c>
      <c r="J23">
        <f>'42_2'!M47</f>
        <v>0.94782278238634388</v>
      </c>
    </row>
    <row r="24" spans="1:14" x14ac:dyDescent="0.2">
      <c r="A24">
        <f>'20_1'!A86</f>
        <v>14239</v>
      </c>
      <c r="B24">
        <f>'20_1'!M86</f>
        <v>0.98338816122536377</v>
      </c>
      <c r="C24">
        <f>'37_1'!A62</f>
        <v>3824</v>
      </c>
      <c r="D24">
        <f>'37_1'!M62</f>
        <v>0.92115376315219033</v>
      </c>
      <c r="E24">
        <f>'37_2'!A98</f>
        <v>3773</v>
      </c>
      <c r="F24">
        <f>'37_2'!M98</f>
        <v>0.94841161520460715</v>
      </c>
      <c r="G24">
        <f>'42_1'!A50</f>
        <v>3171</v>
      </c>
      <c r="H24">
        <f>'42_1'!M50</f>
        <v>0.94157426003317035</v>
      </c>
    </row>
    <row r="25" spans="1:14" x14ac:dyDescent="0.2">
      <c r="A25">
        <f>'20_1'!A87</f>
        <v>14842</v>
      </c>
      <c r="B25">
        <f>'20_1'!M87</f>
        <v>0.9847025786949587</v>
      </c>
      <c r="C25">
        <f>'37_1'!A63</f>
        <v>3976</v>
      </c>
      <c r="D25">
        <f>'37_1'!M63</f>
        <v>0.92308728723679701</v>
      </c>
      <c r="E25">
        <f>'37_2'!A99</f>
        <v>3925</v>
      </c>
      <c r="F25">
        <f>'37_2'!M99</f>
        <v>0.94385420264550113</v>
      </c>
      <c r="G25">
        <f>'42_1'!A51</f>
        <v>3293</v>
      </c>
      <c r="H25">
        <f>'42_1'!M51</f>
        <v>0.9476367326316536</v>
      </c>
    </row>
    <row r="26" spans="1:14" x14ac:dyDescent="0.2">
      <c r="A26">
        <f>'20_1'!A88</f>
        <v>15444</v>
      </c>
      <c r="B26">
        <f>'20_1'!M88</f>
        <v>0.98392784189625004</v>
      </c>
      <c r="C26">
        <f>'37_1'!A64</f>
        <v>4127</v>
      </c>
      <c r="D26">
        <f>'37_1'!M64</f>
        <v>0.92393061894293427</v>
      </c>
      <c r="E26">
        <f>'37_2'!A100</f>
        <v>4077</v>
      </c>
      <c r="F26">
        <f>'37_2'!M100</f>
        <v>0.93895357103338462</v>
      </c>
    </row>
    <row r="27" spans="1:14" x14ac:dyDescent="0.2">
      <c r="A27">
        <f>'20_1'!A89</f>
        <v>16047</v>
      </c>
      <c r="B27">
        <f>'20_1'!M89</f>
        <v>0.98298274600854219</v>
      </c>
      <c r="C27">
        <f>'37_1'!A65</f>
        <v>4279</v>
      </c>
      <c r="D27">
        <f>'37_1'!M65</f>
        <v>0.91975790866288709</v>
      </c>
      <c r="E27">
        <f>'37_2'!A101</f>
        <v>4229</v>
      </c>
      <c r="F27">
        <f>'37_2'!M101</f>
        <v>0.95030110592959527</v>
      </c>
    </row>
    <row r="28" spans="1:14" x14ac:dyDescent="0.2">
      <c r="A28">
        <f>'20_1'!A90</f>
        <v>16650</v>
      </c>
      <c r="B28">
        <f>'20_1'!M90</f>
        <v>0.98324059729575675</v>
      </c>
      <c r="C28">
        <f>'37_1'!A66</f>
        <v>4431</v>
      </c>
      <c r="D28">
        <f>'37_1'!M66</f>
        <v>0.91724737631666575</v>
      </c>
      <c r="E28">
        <f>'37_2'!A102</f>
        <v>4381</v>
      </c>
      <c r="F28">
        <f>'37_2'!M102</f>
        <v>0.94248165393773609</v>
      </c>
    </row>
    <row r="29" spans="1:14" x14ac:dyDescent="0.2">
      <c r="A29">
        <f>'20_1'!A91</f>
        <v>17253</v>
      </c>
      <c r="B29">
        <f>'20_1'!M91</f>
        <v>0.98212294549611057</v>
      </c>
      <c r="C29">
        <f>'37_1'!A67</f>
        <v>4583</v>
      </c>
      <c r="D29">
        <f>'37_1'!M67</f>
        <v>0.92088152209308682</v>
      </c>
      <c r="E29">
        <f>'37_2'!A103</f>
        <v>4533</v>
      </c>
      <c r="F29">
        <f>'37_2'!M103</f>
        <v>0.94670142542468161</v>
      </c>
    </row>
    <row r="30" spans="1:14" x14ac:dyDescent="0.2">
      <c r="A30">
        <f>'20_1'!A92</f>
        <v>17856</v>
      </c>
      <c r="B30">
        <f>'20_1'!M92</f>
        <v>0.9826463149158966</v>
      </c>
      <c r="C30">
        <f>'37_1'!A68</f>
        <v>4735</v>
      </c>
      <c r="D30">
        <f>'37_1'!M68</f>
        <v>0.92549898575205336</v>
      </c>
      <c r="E30">
        <f>'37_2'!A104</f>
        <v>4684</v>
      </c>
      <c r="F30">
        <f>'37_2'!M104</f>
        <v>0.94440817394738885</v>
      </c>
    </row>
    <row r="31" spans="1:14" x14ac:dyDescent="0.2">
      <c r="A31">
        <f>'20_1'!A93</f>
        <v>18458</v>
      </c>
      <c r="B31">
        <f>'20_1'!M93</f>
        <v>0.98289083151051149</v>
      </c>
      <c r="C31">
        <f>'37_1'!A69</f>
        <v>4887</v>
      </c>
      <c r="D31">
        <f>'37_1'!M69</f>
        <v>0.91774957155140813</v>
      </c>
      <c r="E31">
        <f>'37_2'!A105</f>
        <v>4836</v>
      </c>
      <c r="F31">
        <f>'37_2'!M105</f>
        <v>0.94184663103374167</v>
      </c>
    </row>
    <row r="32" spans="1:14" x14ac:dyDescent="0.2">
      <c r="A32">
        <f>'20_1'!A94</f>
        <v>19061</v>
      </c>
      <c r="B32">
        <f>'20_1'!M94</f>
        <v>0.98270309175457438</v>
      </c>
      <c r="C32">
        <f>'37_1'!A70</f>
        <v>5039</v>
      </c>
      <c r="D32">
        <f>'37_1'!M70</f>
        <v>0.92112350322001357</v>
      </c>
      <c r="E32">
        <f>'37_2'!A106</f>
        <v>4988</v>
      </c>
      <c r="F32">
        <f>'37_2'!M106</f>
        <v>0.94360361894990241</v>
      </c>
    </row>
    <row r="33" spans="1:6" x14ac:dyDescent="0.2">
      <c r="A33">
        <f>'20_1'!A95</f>
        <v>19664</v>
      </c>
      <c r="B33">
        <f>'20_1'!M95</f>
        <v>0.98217765228656873</v>
      </c>
      <c r="C33">
        <f>'37_1'!A71</f>
        <v>5190</v>
      </c>
      <c r="D33">
        <f>'37_1'!M71</f>
        <v>0.91275098110158392</v>
      </c>
      <c r="E33">
        <f>'37_2'!A107</f>
        <v>5140</v>
      </c>
      <c r="F33">
        <f>'37_2'!M107</f>
        <v>0.94425667111095501</v>
      </c>
    </row>
    <row r="34" spans="1:6" x14ac:dyDescent="0.2">
      <c r="A34">
        <f>'20_1'!A96</f>
        <v>20267</v>
      </c>
      <c r="B34">
        <f>'20_1'!M96</f>
        <v>0.98166801074118115</v>
      </c>
      <c r="C34">
        <f>'37_1'!A72</f>
        <v>5342</v>
      </c>
      <c r="D34">
        <f>'37_1'!M72</f>
        <v>0.90949963893374297</v>
      </c>
      <c r="E34">
        <f>'37_2'!A108</f>
        <v>5292</v>
      </c>
      <c r="F34">
        <f>'37_2'!M108</f>
        <v>0.94264028795020038</v>
      </c>
    </row>
    <row r="35" spans="1:6" x14ac:dyDescent="0.2">
      <c r="A35">
        <f>'20_1'!A97</f>
        <v>20869</v>
      </c>
      <c r="B35">
        <f>'20_1'!M97</f>
        <v>0.98165992581679096</v>
      </c>
      <c r="C35">
        <f>'37_1'!A73</f>
        <v>5494</v>
      </c>
      <c r="D35">
        <f>'37_1'!M73</f>
        <v>0.91142400783811472</v>
      </c>
      <c r="E35">
        <f>'37_2'!A109</f>
        <v>5444</v>
      </c>
      <c r="F35">
        <f>'37_2'!M109</f>
        <v>0.93622439333344531</v>
      </c>
    </row>
    <row r="36" spans="1:6" x14ac:dyDescent="0.2">
      <c r="A36">
        <f>'20_1'!A98</f>
        <v>21472</v>
      </c>
      <c r="B36">
        <f>'20_1'!M98</f>
        <v>0.98114998858298808</v>
      </c>
      <c r="C36">
        <f>'37_1'!A74</f>
        <v>5646</v>
      </c>
      <c r="D36">
        <f>'37_1'!M74</f>
        <v>0.91666155880276501</v>
      </c>
      <c r="E36">
        <f>'37_2'!A110</f>
        <v>5595</v>
      </c>
      <c r="F36">
        <f>'37_2'!M110</f>
        <v>0.93815639859913269</v>
      </c>
    </row>
    <row r="37" spans="1:6" x14ac:dyDescent="0.2">
      <c r="A37">
        <f>'20_1'!A99</f>
        <v>22075</v>
      </c>
      <c r="B37">
        <f>'20_1'!M99</f>
        <v>0.98071005234051212</v>
      </c>
      <c r="C37">
        <f>'37_1'!A75</f>
        <v>5798</v>
      </c>
      <c r="D37">
        <f>'37_1'!M75</f>
        <v>0.92220743783975445</v>
      </c>
      <c r="E37">
        <f>'37_2'!A111</f>
        <v>5747</v>
      </c>
      <c r="F37">
        <f>'37_2'!M111</f>
        <v>0.93694263449032167</v>
      </c>
    </row>
    <row r="38" spans="1:6" x14ac:dyDescent="0.2">
      <c r="A38">
        <f>'20_1'!A100</f>
        <v>22678</v>
      </c>
      <c r="B38">
        <f>'20_1'!M100</f>
        <v>0.98066540521884482</v>
      </c>
      <c r="E38">
        <f>'37_2'!A112</f>
        <v>5899</v>
      </c>
      <c r="F38">
        <f>'37_2'!M112</f>
        <v>0.94155247221732707</v>
      </c>
    </row>
    <row r="39" spans="1:6" x14ac:dyDescent="0.2">
      <c r="A39">
        <f>'20_1'!A101</f>
        <v>23281</v>
      </c>
      <c r="B39">
        <f>'20_1'!M101</f>
        <v>0.98111191294601163</v>
      </c>
      <c r="E39">
        <f>'37_2'!A113</f>
        <v>6051</v>
      </c>
      <c r="F39">
        <f>'37_2'!M113</f>
        <v>0.93601058770784851</v>
      </c>
    </row>
    <row r="40" spans="1:6" x14ac:dyDescent="0.2">
      <c r="A40">
        <f>'20_1'!A102</f>
        <v>23883</v>
      </c>
      <c r="B40">
        <f>'20_1'!M102</f>
        <v>0.98032021910893752</v>
      </c>
      <c r="E40">
        <f>'37_2'!A114</f>
        <v>6203</v>
      </c>
      <c r="F40">
        <f>'37_2'!M114</f>
        <v>0.93968670307814584</v>
      </c>
    </row>
    <row r="41" spans="1:6" x14ac:dyDescent="0.2">
      <c r="A41">
        <f>'20_1'!A103</f>
        <v>24486</v>
      </c>
      <c r="B41">
        <f>'20_1'!M103</f>
        <v>0.98042870354950151</v>
      </c>
      <c r="E41">
        <f>'37_2'!A115</f>
        <v>6355</v>
      </c>
      <c r="F41">
        <f>'37_2'!M115</f>
        <v>0.93759262184935932</v>
      </c>
    </row>
    <row r="42" spans="1:6" x14ac:dyDescent="0.2">
      <c r="A42">
        <f>'20_1'!A104</f>
        <v>25089</v>
      </c>
      <c r="B42">
        <f>'20_1'!M104</f>
        <v>0.98059332783157716</v>
      </c>
      <c r="E42">
        <f>'37_2'!A116</f>
        <v>6506</v>
      </c>
      <c r="F42">
        <f>'37_2'!M116</f>
        <v>0.94931648756017595</v>
      </c>
    </row>
    <row r="43" spans="1:6" x14ac:dyDescent="0.2">
      <c r="A43">
        <f>'20_1'!A105</f>
        <v>25692</v>
      </c>
      <c r="B43">
        <f>'20_1'!M105</f>
        <v>0.97964743849111435</v>
      </c>
      <c r="E43">
        <f>'37_2'!A117</f>
        <v>6658</v>
      </c>
      <c r="F43">
        <f>'37_2'!M117</f>
        <v>0.94161813103824721</v>
      </c>
    </row>
    <row r="44" spans="1:6" x14ac:dyDescent="0.2">
      <c r="A44">
        <f>'20_1'!A106</f>
        <v>26295</v>
      </c>
      <c r="B44">
        <f>'20_1'!M106</f>
        <v>0.97935712977382949</v>
      </c>
      <c r="E44">
        <f>'37_2'!A118</f>
        <v>6810</v>
      </c>
      <c r="F44">
        <f>'37_2'!M118</f>
        <v>0.94237600726198523</v>
      </c>
    </row>
    <row r="45" spans="1:6" x14ac:dyDescent="0.2">
      <c r="A45">
        <f>'20_1'!A107</f>
        <v>26897</v>
      </c>
      <c r="B45">
        <f>'20_1'!M107</f>
        <v>0.9799488281298222</v>
      </c>
      <c r="E45">
        <f>'37_2'!A119</f>
        <v>6962</v>
      </c>
      <c r="F45">
        <f>'37_2'!M119</f>
        <v>0.94651849685532641</v>
      </c>
    </row>
    <row r="46" spans="1:6" x14ac:dyDescent="0.2">
      <c r="A46">
        <f>'20_1'!A108</f>
        <v>27500</v>
      </c>
      <c r="B46">
        <f>'20_1'!M108</f>
        <v>0.9801913627469363</v>
      </c>
      <c r="E46">
        <f>'37_2'!A120</f>
        <v>7114</v>
      </c>
      <c r="F46">
        <f>'37_2'!M120</f>
        <v>0.93427730717640534</v>
      </c>
    </row>
    <row r="47" spans="1:6" x14ac:dyDescent="0.2">
      <c r="A47">
        <f>'20_1'!A109</f>
        <v>28103</v>
      </c>
      <c r="B47">
        <f>'20_1'!M109</f>
        <v>0.98021517595239327</v>
      </c>
      <c r="E47">
        <f>'37_2'!A121</f>
        <v>7266</v>
      </c>
      <c r="F47">
        <f>'37_2'!M121</f>
        <v>0.94252697786889439</v>
      </c>
    </row>
    <row r="48" spans="1:6" x14ac:dyDescent="0.2">
      <c r="A48">
        <f>'20_1'!A110</f>
        <v>28706</v>
      </c>
      <c r="B48">
        <f>'20_1'!M110</f>
        <v>0.97997761957310825</v>
      </c>
      <c r="E48">
        <f>'37_2'!A122</f>
        <v>7417</v>
      </c>
      <c r="F48">
        <f>'37_2'!M122</f>
        <v>0.93959777582497706</v>
      </c>
    </row>
    <row r="49" spans="1:6" x14ac:dyDescent="0.2">
      <c r="A49">
        <f>'20_1'!A111</f>
        <v>29308</v>
      </c>
      <c r="B49">
        <f>'20_1'!M111</f>
        <v>0.98049940044031436</v>
      </c>
      <c r="E49">
        <f>'37_2'!A123</f>
        <v>7569</v>
      </c>
      <c r="F49">
        <f>'37_2'!M123</f>
        <v>0.94042211855746682</v>
      </c>
    </row>
    <row r="50" spans="1:6" x14ac:dyDescent="0.2">
      <c r="A50">
        <f>'20_1'!A112</f>
        <v>29911</v>
      </c>
      <c r="B50">
        <f>'20_1'!M112</f>
        <v>0.98042727163203469</v>
      </c>
      <c r="E50">
        <f>'37_2'!A124</f>
        <v>7721</v>
      </c>
      <c r="F50">
        <f>'37_2'!M124</f>
        <v>0.94254619263775663</v>
      </c>
    </row>
    <row r="51" spans="1:6" x14ac:dyDescent="0.2">
      <c r="A51">
        <f>'20_1'!A113</f>
        <v>30514</v>
      </c>
      <c r="B51">
        <f>'20_1'!M113</f>
        <v>0.98058269270023268</v>
      </c>
      <c r="E51">
        <f>'37_2'!A125</f>
        <v>7873</v>
      </c>
      <c r="F51">
        <f>'37_2'!M125</f>
        <v>0.94102200200804509</v>
      </c>
    </row>
    <row r="52" spans="1:6" x14ac:dyDescent="0.2">
      <c r="A52">
        <f>'20_1'!A114</f>
        <v>31117</v>
      </c>
      <c r="B52">
        <f>'20_1'!M114</f>
        <v>0.98004615325838351</v>
      </c>
      <c r="E52">
        <f>'37_2'!A126</f>
        <v>8025</v>
      </c>
      <c r="F52">
        <f>'37_2'!M126</f>
        <v>0.94579799137565368</v>
      </c>
    </row>
    <row r="53" spans="1:6" x14ac:dyDescent="0.2">
      <c r="A53">
        <f>'20_1'!A115</f>
        <v>31720</v>
      </c>
      <c r="B53">
        <f>'20_1'!M115</f>
        <v>0.97980040710355598</v>
      </c>
      <c r="E53">
        <f>'37_2'!A127</f>
        <v>8177</v>
      </c>
      <c r="F53">
        <f>'37_2'!M127</f>
        <v>0.94408861263285349</v>
      </c>
    </row>
    <row r="54" spans="1:6" x14ac:dyDescent="0.2">
      <c r="A54">
        <f>'20_1'!A116</f>
        <v>32322</v>
      </c>
      <c r="B54">
        <f>'20_1'!M116</f>
        <v>0.98072507980115797</v>
      </c>
      <c r="E54">
        <f>'37_2'!A128</f>
        <v>8329</v>
      </c>
      <c r="F54">
        <f>'37_2'!M128</f>
        <v>0.93629028913396395</v>
      </c>
    </row>
    <row r="55" spans="1:6" x14ac:dyDescent="0.2">
      <c r="A55">
        <f>'20_1'!A117</f>
        <v>32925</v>
      </c>
      <c r="B55">
        <f>'20_1'!M117</f>
        <v>0.98223809927507066</v>
      </c>
      <c r="E55">
        <f>'37_2'!A129</f>
        <v>8480</v>
      </c>
      <c r="F55">
        <f>'37_2'!M129</f>
        <v>0.9495959935226036</v>
      </c>
    </row>
    <row r="56" spans="1:6" x14ac:dyDescent="0.2">
      <c r="A56">
        <f>'20_1'!A118</f>
        <v>33528</v>
      </c>
      <c r="B56">
        <f>'20_1'!M118</f>
        <v>0.98106307434474005</v>
      </c>
      <c r="E56">
        <f>'37_2'!A130</f>
        <v>8632</v>
      </c>
      <c r="F56">
        <f>'37_2'!M130</f>
        <v>0.94171121616448694</v>
      </c>
    </row>
    <row r="57" spans="1:6" x14ac:dyDescent="0.2">
      <c r="A57">
        <f>'20_1'!A119</f>
        <v>34131</v>
      </c>
      <c r="B57">
        <f>'20_1'!M119</f>
        <v>0.98075473325390938</v>
      </c>
      <c r="E57">
        <f>'37_2'!A131</f>
        <v>8784</v>
      </c>
      <c r="F57">
        <f>'37_2'!M131</f>
        <v>0.93842353933225997</v>
      </c>
    </row>
    <row r="58" spans="1:6" x14ac:dyDescent="0.2">
      <c r="A58">
        <f>'20_1'!A120</f>
        <v>34733</v>
      </c>
      <c r="B58">
        <f>'20_1'!M120</f>
        <v>0.98126177523887126</v>
      </c>
      <c r="E58">
        <f>'37_2'!A132</f>
        <v>8936</v>
      </c>
      <c r="F58">
        <f>'37_2'!M132</f>
        <v>0.93778753178246543</v>
      </c>
    </row>
    <row r="59" spans="1:6" x14ac:dyDescent="0.2">
      <c r="A59">
        <f>'20_1'!A121</f>
        <v>35336</v>
      </c>
      <c r="B59">
        <f>'20_1'!M121</f>
        <v>0.98175565226130257</v>
      </c>
      <c r="E59">
        <f>'37_2'!A133</f>
        <v>9088</v>
      </c>
      <c r="F59">
        <f>'37_2'!M133</f>
        <v>0.9371682297187317</v>
      </c>
    </row>
    <row r="60" spans="1:6" x14ac:dyDescent="0.2">
      <c r="A60">
        <f>'20_1'!A122</f>
        <v>35939</v>
      </c>
      <c r="B60">
        <f>'20_1'!M122</f>
        <v>0.98058357234942051</v>
      </c>
      <c r="E60">
        <f>'37_2'!A134</f>
        <v>9240</v>
      </c>
      <c r="F60">
        <f>'37_2'!M134</f>
        <v>0.94972615890205159</v>
      </c>
    </row>
    <row r="61" spans="1:6" x14ac:dyDescent="0.2">
      <c r="A61">
        <f>'20_1'!A123</f>
        <v>36542</v>
      </c>
      <c r="B61">
        <f>'20_1'!M123</f>
        <v>0.98208941266466698</v>
      </c>
      <c r="E61">
        <f>'37_2'!A135</f>
        <v>9391</v>
      </c>
      <c r="F61">
        <f>'37_2'!M135</f>
        <v>0.9373336474351861</v>
      </c>
    </row>
    <row r="62" spans="1:6" x14ac:dyDescent="0.2">
      <c r="E62">
        <f>'37_2'!A136</f>
        <v>9543</v>
      </c>
      <c r="F62">
        <f>'37_2'!M136</f>
        <v>0.94192649539625539</v>
      </c>
    </row>
    <row r="63" spans="1:6" x14ac:dyDescent="0.2">
      <c r="E63">
        <f>'37_2'!A137</f>
        <v>9695</v>
      </c>
      <c r="F63">
        <f>'37_2'!M137</f>
        <v>0.94526333658059214</v>
      </c>
    </row>
    <row r="64" spans="1:6" x14ac:dyDescent="0.2">
      <c r="E64">
        <f>'37_2'!A138</f>
        <v>9847</v>
      </c>
      <c r="F64">
        <f>'37_2'!M138</f>
        <v>0.93629385802266074</v>
      </c>
    </row>
    <row r="65" spans="5:6" x14ac:dyDescent="0.2">
      <c r="E65">
        <f>'37_2'!A139</f>
        <v>9999</v>
      </c>
      <c r="F65">
        <f>'37_2'!M139</f>
        <v>0.94712025282954693</v>
      </c>
    </row>
    <row r="66" spans="5:6" x14ac:dyDescent="0.2">
      <c r="E66">
        <f>'37_2'!A140</f>
        <v>10151</v>
      </c>
      <c r="F66">
        <f>'37_2'!M140</f>
        <v>0.93653570959426979</v>
      </c>
    </row>
    <row r="67" spans="5:6" x14ac:dyDescent="0.2">
      <c r="E67">
        <f>'37_2'!A141</f>
        <v>10302</v>
      </c>
      <c r="F67">
        <f>'37_2'!M141</f>
        <v>0.94579149126437922</v>
      </c>
    </row>
    <row r="68" spans="5:6" x14ac:dyDescent="0.2">
      <c r="E68">
        <f>'37_2'!A142</f>
        <v>10454</v>
      </c>
      <c r="F68">
        <f>'37_2'!M142</f>
        <v>0.94072667511443098</v>
      </c>
    </row>
    <row r="69" spans="5:6" x14ac:dyDescent="0.2">
      <c r="E69">
        <f>'37_2'!A143</f>
        <v>10606</v>
      </c>
      <c r="F69">
        <f>'37_2'!M143</f>
        <v>0.93908735716502212</v>
      </c>
    </row>
    <row r="70" spans="5:6" x14ac:dyDescent="0.2">
      <c r="E70">
        <f>'37_2'!A144</f>
        <v>10758</v>
      </c>
      <c r="F70">
        <f>'37_2'!M144</f>
        <v>0.93500792625682583</v>
      </c>
    </row>
    <row r="71" spans="5:6" x14ac:dyDescent="0.2">
      <c r="E71">
        <f>'37_2'!A145</f>
        <v>10910</v>
      </c>
      <c r="F71">
        <f>'37_2'!M145</f>
        <v>0.93909077822141518</v>
      </c>
    </row>
    <row r="72" spans="5:6" x14ac:dyDescent="0.2">
      <c r="E72">
        <f>'37_2'!A146</f>
        <v>11062</v>
      </c>
      <c r="F72">
        <f>'37_2'!M146</f>
        <v>0.94319390132415248</v>
      </c>
    </row>
    <row r="73" spans="5:6" x14ac:dyDescent="0.2">
      <c r="E73">
        <f>'37_2'!A147</f>
        <v>11213</v>
      </c>
      <c r="F73">
        <f>'37_2'!M147</f>
        <v>0.94785340109989558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763B-AC75-4C43-A0DD-BCF046483679}">
  <dimension ref="A1:N73"/>
  <sheetViews>
    <sheetView workbookViewId="0">
      <selection activeCell="N2" sqref="N2:N21"/>
    </sheetView>
  </sheetViews>
  <sheetFormatPr baseColWidth="10" defaultRowHeight="16" x14ac:dyDescent="0.2"/>
  <sheetData>
    <row r="1" spans="1:14" x14ac:dyDescent="0.2">
      <c r="A1" t="s">
        <v>100</v>
      </c>
      <c r="B1" t="s">
        <v>97</v>
      </c>
      <c r="C1" t="s">
        <v>99</v>
      </c>
      <c r="D1" t="s">
        <v>98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</row>
    <row r="2" spans="1:14" x14ac:dyDescent="0.2">
      <c r="A2">
        <f>'20_1'!A64</f>
        <v>978</v>
      </c>
      <c r="B2">
        <f>'20_1'!N2</f>
        <v>0.45241713428855956</v>
      </c>
      <c r="C2">
        <f>'37_1'!A40</f>
        <v>483</v>
      </c>
      <c r="D2">
        <f>'37_1'!N2</f>
        <v>0.40702453215047379</v>
      </c>
      <c r="E2">
        <f>'37_2'!A76</f>
        <v>433</v>
      </c>
      <c r="F2">
        <f>'37_2'!N2</f>
        <v>0.40696584216213649</v>
      </c>
      <c r="G2">
        <f>'42_1'!A28</f>
        <v>490</v>
      </c>
      <c r="H2">
        <f>'42_1'!N2</f>
        <v>0.39395294171396061</v>
      </c>
      <c r="I2">
        <f>'42_2'!A26</f>
        <v>404</v>
      </c>
      <c r="J2">
        <f>'42_2'!N2</f>
        <v>0.40251848098569909</v>
      </c>
      <c r="K2">
        <v>288</v>
      </c>
      <c r="L2">
        <f>'48_1'!N2</f>
        <v>0.39099764749215821</v>
      </c>
      <c r="M2">
        <f>'48_2'!A24</f>
        <v>365</v>
      </c>
      <c r="N2">
        <f>'48_2'!N2</f>
        <v>0.38402976885298434</v>
      </c>
    </row>
    <row r="3" spans="1:14" x14ac:dyDescent="0.2">
      <c r="A3">
        <f>'20_1'!A65</f>
        <v>1581</v>
      </c>
      <c r="B3">
        <f>'20_1'!N3</f>
        <v>0.44914031350848493</v>
      </c>
      <c r="C3">
        <f>'37_1'!A41</f>
        <v>635</v>
      </c>
      <c r="D3">
        <f>'37_1'!N3</f>
        <v>0.40499534433236567</v>
      </c>
      <c r="E3">
        <f>'37_2'!A77</f>
        <v>585</v>
      </c>
      <c r="F3">
        <f>'37_2'!N3</f>
        <v>0.40484289355647202</v>
      </c>
      <c r="G3">
        <f>'42_1'!A29</f>
        <v>612</v>
      </c>
      <c r="H3">
        <f>'42_1'!N3</f>
        <v>0.39417373072523965</v>
      </c>
      <c r="I3">
        <f>'42_2'!A27</f>
        <v>526</v>
      </c>
      <c r="J3">
        <f>'42_2'!N3</f>
        <v>0.39558974959070148</v>
      </c>
      <c r="K3">
        <v>380</v>
      </c>
      <c r="L3">
        <f>'48_1'!N3</f>
        <v>0.39331162955060511</v>
      </c>
      <c r="M3">
        <f>'48_2'!A25</f>
        <v>456</v>
      </c>
      <c r="N3">
        <f>'48_2'!N3</f>
        <v>0.38152246683147156</v>
      </c>
    </row>
    <row r="4" spans="1:14" x14ac:dyDescent="0.2">
      <c r="A4">
        <f>'20_1'!A66</f>
        <v>2183</v>
      </c>
      <c r="B4">
        <f>'20_1'!N4</f>
        <v>0.44560575781143341</v>
      </c>
      <c r="C4">
        <f>'37_1'!A42</f>
        <v>787</v>
      </c>
      <c r="D4">
        <f>'37_1'!N4</f>
        <v>0.40118323315541221</v>
      </c>
      <c r="E4">
        <f>'37_2'!A78</f>
        <v>737</v>
      </c>
      <c r="F4">
        <f>'37_2'!N4</f>
        <v>0.40570541948230743</v>
      </c>
      <c r="G4">
        <f>'42_1'!A30</f>
        <v>734</v>
      </c>
      <c r="H4">
        <f>'42_1'!N4</f>
        <v>0.39374994176813471</v>
      </c>
      <c r="I4">
        <f>'42_2'!A28</f>
        <v>648</v>
      </c>
      <c r="J4">
        <f>'42_2'!N4</f>
        <v>0.3970421362160928</v>
      </c>
      <c r="K4">
        <v>472</v>
      </c>
      <c r="L4">
        <f>'48_1'!N4</f>
        <v>0.38789671172233187</v>
      </c>
      <c r="M4">
        <f>'48_2'!A26</f>
        <v>548</v>
      </c>
      <c r="N4">
        <f>'48_2'!N4</f>
        <v>0.38211404460644183</v>
      </c>
    </row>
    <row r="5" spans="1:14" x14ac:dyDescent="0.2">
      <c r="A5">
        <f>'20_1'!A67</f>
        <v>2786</v>
      </c>
      <c r="B5">
        <f>'20_1'!N5</f>
        <v>0.44472984786294206</v>
      </c>
      <c r="C5">
        <f>'37_1'!A43</f>
        <v>939</v>
      </c>
      <c r="D5">
        <f>'37_1'!N5</f>
        <v>0.40176116013141805</v>
      </c>
      <c r="E5">
        <f>'37_2'!A79</f>
        <v>889</v>
      </c>
      <c r="F5">
        <f>'37_2'!N5</f>
        <v>0.40584867971502375</v>
      </c>
      <c r="G5">
        <f>'42_1'!A31</f>
        <v>856</v>
      </c>
      <c r="H5">
        <f>'42_1'!N5</f>
        <v>0.3922176415850801</v>
      </c>
      <c r="I5">
        <f>'42_2'!A29</f>
        <v>770</v>
      </c>
      <c r="J5">
        <f>'42_2'!N5</f>
        <v>0.39917337143063536</v>
      </c>
      <c r="K5">
        <v>564</v>
      </c>
      <c r="L5">
        <f>'48_1'!N5</f>
        <v>0.38667772372366999</v>
      </c>
      <c r="M5">
        <f>'48_2'!A27</f>
        <v>640</v>
      </c>
      <c r="N5">
        <f>'48_2'!N5</f>
        <v>0.38112261926264912</v>
      </c>
    </row>
    <row r="6" spans="1:14" x14ac:dyDescent="0.2">
      <c r="A6">
        <f>'20_1'!A68</f>
        <v>3389</v>
      </c>
      <c r="B6">
        <f>'20_1'!N6</f>
        <v>0.44137364599860129</v>
      </c>
      <c r="C6">
        <f>'37_1'!A44</f>
        <v>1090</v>
      </c>
      <c r="D6">
        <f>'37_1'!N6</f>
        <v>0.4002977510389551</v>
      </c>
      <c r="E6">
        <f>'37_2'!A80</f>
        <v>1040</v>
      </c>
      <c r="F6">
        <f>'37_2'!N6</f>
        <v>0.4011469747818267</v>
      </c>
      <c r="G6">
        <f>'42_1'!A32</f>
        <v>977</v>
      </c>
      <c r="H6">
        <f>'42_1'!N6</f>
        <v>0.38853681956844272</v>
      </c>
      <c r="I6">
        <f>'42_2'!A30</f>
        <v>892</v>
      </c>
      <c r="J6">
        <f>'42_2'!N6</f>
        <v>0.39353238172243649</v>
      </c>
      <c r="K6">
        <v>656</v>
      </c>
      <c r="L6">
        <f>'48_1'!N6</f>
        <v>0.38317046924586023</v>
      </c>
      <c r="M6">
        <f>'48_2'!A28</f>
        <v>732</v>
      </c>
      <c r="N6">
        <f>'48_2'!N6</f>
        <v>0.37893502639471294</v>
      </c>
    </row>
    <row r="7" spans="1:14" x14ac:dyDescent="0.2">
      <c r="A7">
        <f>'20_1'!A69</f>
        <v>3992</v>
      </c>
      <c r="B7">
        <f>'20_1'!N7</f>
        <v>0.44035206921521303</v>
      </c>
      <c r="C7">
        <f>'37_1'!A45</f>
        <v>1242</v>
      </c>
      <c r="D7">
        <f>'37_1'!N7</f>
        <v>0.39642060119931355</v>
      </c>
      <c r="E7">
        <f>'37_2'!A81</f>
        <v>1192</v>
      </c>
      <c r="F7">
        <f>'37_2'!N7</f>
        <v>0.40167584718598165</v>
      </c>
      <c r="G7">
        <f>'42_1'!A33</f>
        <v>1099</v>
      </c>
      <c r="H7">
        <f>'42_1'!N7</f>
        <v>0.38993056248975094</v>
      </c>
      <c r="I7">
        <f>'42_2'!A31</f>
        <v>1014</v>
      </c>
      <c r="J7">
        <f>'42_2'!N7</f>
        <v>0.3921621514596012</v>
      </c>
      <c r="K7">
        <v>747</v>
      </c>
      <c r="L7">
        <f>'48_1'!N7</f>
        <v>0.38182525811710072</v>
      </c>
      <c r="M7">
        <f>'48_2'!A29</f>
        <v>824</v>
      </c>
      <c r="N7">
        <f>'48_2'!N7</f>
        <v>0.3809757010595749</v>
      </c>
    </row>
    <row r="8" spans="1:14" x14ac:dyDescent="0.2">
      <c r="A8">
        <f>'20_1'!A70</f>
        <v>4595</v>
      </c>
      <c r="B8">
        <f>'20_1'!N8</f>
        <v>0.43704297389327035</v>
      </c>
      <c r="C8">
        <f>'37_1'!A46</f>
        <v>1394</v>
      </c>
      <c r="D8">
        <f>'37_1'!N8</f>
        <v>0.3958300385153905</v>
      </c>
      <c r="E8">
        <f>'37_2'!A82</f>
        <v>1344</v>
      </c>
      <c r="F8">
        <f>'37_2'!N8</f>
        <v>0.40081957539969509</v>
      </c>
      <c r="G8">
        <f>'42_1'!A34</f>
        <v>1221</v>
      </c>
      <c r="H8">
        <f>'42_1'!N8</f>
        <v>0.38995524714153151</v>
      </c>
      <c r="I8">
        <f>'42_2'!A32</f>
        <v>1136</v>
      </c>
      <c r="J8">
        <f>'42_2'!N8</f>
        <v>0.39125700135293806</v>
      </c>
      <c r="K8">
        <v>839</v>
      </c>
      <c r="L8">
        <f>'48_1'!N8</f>
        <v>0.38194245922604447</v>
      </c>
      <c r="M8">
        <f>'48_2'!A30</f>
        <v>916</v>
      </c>
      <c r="N8">
        <f>'48_2'!N8</f>
        <v>0.38359385591643497</v>
      </c>
    </row>
    <row r="9" spans="1:14" x14ac:dyDescent="0.2">
      <c r="A9">
        <f>'20_1'!A71</f>
        <v>5197</v>
      </c>
      <c r="B9">
        <f>'20_1'!N9</f>
        <v>0.43689496184703791</v>
      </c>
      <c r="C9">
        <f>'37_1'!A47</f>
        <v>1546</v>
      </c>
      <c r="D9">
        <f>'37_1'!N9</f>
        <v>0.39418814799897495</v>
      </c>
      <c r="E9">
        <f>'37_2'!A83</f>
        <v>1496</v>
      </c>
      <c r="F9">
        <f>'37_2'!N9</f>
        <v>0.39876706265894041</v>
      </c>
      <c r="G9">
        <f>'42_1'!A35</f>
        <v>1343</v>
      </c>
      <c r="H9">
        <f>'42_1'!N9</f>
        <v>0.38687122525676221</v>
      </c>
      <c r="I9">
        <f>'42_2'!A33</f>
        <v>1257</v>
      </c>
      <c r="J9">
        <f>'42_2'!N9</f>
        <v>0.39228799487857768</v>
      </c>
      <c r="K9">
        <v>931</v>
      </c>
      <c r="L9">
        <f>'48_1'!N9</f>
        <v>0.38210815024586603</v>
      </c>
      <c r="M9">
        <f>'48_2'!A31</f>
        <v>1008</v>
      </c>
      <c r="N9">
        <f>'48_2'!N9</f>
        <v>0.38061822211812235</v>
      </c>
    </row>
    <row r="10" spans="1:14" x14ac:dyDescent="0.2">
      <c r="A10">
        <f>'20_1'!A72</f>
        <v>5800</v>
      </c>
      <c r="B10">
        <f>'20_1'!N10</f>
        <v>0.43741589739435632</v>
      </c>
      <c r="C10">
        <f>'37_1'!A48</f>
        <v>1698</v>
      </c>
      <c r="D10">
        <f>'37_1'!N10</f>
        <v>0.3942570310817064</v>
      </c>
      <c r="E10">
        <f>'37_2'!A84</f>
        <v>1648</v>
      </c>
      <c r="F10">
        <f>'37_2'!N10</f>
        <v>0.39719489448940948</v>
      </c>
      <c r="G10">
        <f>'42_1'!A36</f>
        <v>1465</v>
      </c>
      <c r="H10">
        <f>'42_1'!N10</f>
        <v>0.38693491042958578</v>
      </c>
      <c r="I10">
        <f>'42_2'!A34</f>
        <v>1379</v>
      </c>
      <c r="J10">
        <f>'42_2'!N10</f>
        <v>0.39313040264561128</v>
      </c>
      <c r="K10">
        <v>1023</v>
      </c>
      <c r="L10">
        <f>'48_1'!N10</f>
        <v>0.38310847710467016</v>
      </c>
      <c r="M10">
        <f>'48_2'!A32</f>
        <v>1099</v>
      </c>
      <c r="N10">
        <f>'48_2'!N10</f>
        <v>0.37609415388310558</v>
      </c>
    </row>
    <row r="11" spans="1:14" x14ac:dyDescent="0.2">
      <c r="A11">
        <f>'20_1'!A73</f>
        <v>6403</v>
      </c>
      <c r="B11">
        <f>'20_1'!N11</f>
        <v>0.43436563867112021</v>
      </c>
      <c r="C11">
        <f>'37_1'!A49</f>
        <v>1850</v>
      </c>
      <c r="D11">
        <f>'37_1'!N11</f>
        <v>0.39470535387024469</v>
      </c>
      <c r="E11">
        <f>'37_2'!A85</f>
        <v>1800</v>
      </c>
      <c r="F11">
        <f>'37_2'!N11</f>
        <v>0.39580107436983442</v>
      </c>
      <c r="G11">
        <f>'42_1'!A37</f>
        <v>1587</v>
      </c>
      <c r="H11">
        <f>'42_1'!N11</f>
        <v>0.38391074774194939</v>
      </c>
      <c r="I11">
        <f>'42_2'!A35</f>
        <v>1501</v>
      </c>
      <c r="J11">
        <f>'42_2'!N11</f>
        <v>0.39025278135820146</v>
      </c>
      <c r="K11">
        <v>1115</v>
      </c>
      <c r="L11">
        <f>'48_1'!N11</f>
        <v>0.37971722928477042</v>
      </c>
      <c r="M11">
        <f>'48_2'!A33</f>
        <v>1191</v>
      </c>
      <c r="N11">
        <f>'48_2'!N11</f>
        <v>0.37381960982997103</v>
      </c>
    </row>
    <row r="12" spans="1:14" x14ac:dyDescent="0.2">
      <c r="A12">
        <f>'20_1'!A74</f>
        <v>7006</v>
      </c>
      <c r="B12">
        <f>'20_1'!N12</f>
        <v>0.43344793094423895</v>
      </c>
      <c r="C12">
        <f>'37_1'!A50</f>
        <v>2002</v>
      </c>
      <c r="D12">
        <f>'37_1'!N12</f>
        <v>0.39167025440040731</v>
      </c>
      <c r="E12">
        <f>'37_2'!A86</f>
        <v>1951</v>
      </c>
      <c r="F12">
        <f>'37_2'!N12</f>
        <v>0.39678402377179234</v>
      </c>
      <c r="G12">
        <f>'42_1'!A38</f>
        <v>1709</v>
      </c>
      <c r="H12">
        <f>'42_1'!N12</f>
        <v>0.38561798661295243</v>
      </c>
      <c r="I12">
        <f>'42_2'!A36</f>
        <v>1623</v>
      </c>
      <c r="J12">
        <f>'42_2'!N12</f>
        <v>0.38737911380438034</v>
      </c>
      <c r="K12">
        <v>1207</v>
      </c>
      <c r="L12">
        <f>'48_1'!N12</f>
        <v>0.37678051494196857</v>
      </c>
      <c r="M12">
        <f>'48_2'!A34</f>
        <v>1283</v>
      </c>
      <c r="N12">
        <f>'48_2'!N12</f>
        <v>0.38267244903610981</v>
      </c>
    </row>
    <row r="13" spans="1:14" x14ac:dyDescent="0.2">
      <c r="A13">
        <f>'20_1'!A75</f>
        <v>7608</v>
      </c>
      <c r="B13">
        <f>'20_1'!N13</f>
        <v>0.43722162638049911</v>
      </c>
      <c r="C13">
        <f>'37_1'!A51</f>
        <v>2153</v>
      </c>
      <c r="D13">
        <f>'37_1'!N13</f>
        <v>0.39154766305539451</v>
      </c>
      <c r="E13">
        <f>'37_2'!A87</f>
        <v>2103</v>
      </c>
      <c r="F13">
        <f>'37_2'!N13</f>
        <v>0.39572356007104875</v>
      </c>
      <c r="G13">
        <f>'42_1'!A39</f>
        <v>1830</v>
      </c>
      <c r="H13">
        <f>'42_1'!N13</f>
        <v>0.38647547846830649</v>
      </c>
      <c r="I13">
        <f>'42_2'!A37</f>
        <v>1745</v>
      </c>
      <c r="J13">
        <f>'42_2'!N13</f>
        <v>0.38824951065872976</v>
      </c>
      <c r="K13">
        <v>1299</v>
      </c>
      <c r="L13">
        <f>'48_1'!N13</f>
        <v>0.38069347360150285</v>
      </c>
      <c r="M13">
        <f>'48_2'!A35</f>
        <v>1375</v>
      </c>
      <c r="N13">
        <f>'48_2'!N13</f>
        <v>0.37603550526739687</v>
      </c>
    </row>
    <row r="14" spans="1:14" x14ac:dyDescent="0.2">
      <c r="A14">
        <f>'20_1'!A76</f>
        <v>8211</v>
      </c>
      <c r="B14">
        <f>'20_1'!N14</f>
        <v>0.43087071571741953</v>
      </c>
      <c r="C14">
        <f>'37_1'!A52</f>
        <v>2305</v>
      </c>
      <c r="D14">
        <f>'37_1'!N14</f>
        <v>0.38922989146704695</v>
      </c>
      <c r="E14">
        <f>'37_2'!A88</f>
        <v>2255</v>
      </c>
      <c r="F14">
        <f>'37_2'!N14</f>
        <v>0.394914804554927</v>
      </c>
      <c r="G14">
        <f>'42_1'!A40</f>
        <v>1952</v>
      </c>
      <c r="H14">
        <f>'42_1'!N14</f>
        <v>0.38783254426741498</v>
      </c>
      <c r="I14">
        <f>'42_2'!A38</f>
        <v>1867</v>
      </c>
      <c r="J14">
        <f>'42_2'!N14</f>
        <v>0.38728943398576282</v>
      </c>
      <c r="K14">
        <v>1390</v>
      </c>
      <c r="L14">
        <f>'48_1'!N14</f>
        <v>0.381116723045691</v>
      </c>
      <c r="M14">
        <f>'48_2'!A36</f>
        <v>1467</v>
      </c>
      <c r="N14">
        <f>'48_2'!N14</f>
        <v>0.37364772189582107</v>
      </c>
    </row>
    <row r="15" spans="1:14" x14ac:dyDescent="0.2">
      <c r="A15">
        <f>'20_1'!A77</f>
        <v>8814</v>
      </c>
      <c r="B15">
        <f>'20_1'!N15</f>
        <v>0.42877844722976238</v>
      </c>
      <c r="C15">
        <f>'37_1'!A53</f>
        <v>2457</v>
      </c>
      <c r="D15">
        <f>'37_1'!N15</f>
        <v>0.39130776248720345</v>
      </c>
      <c r="E15">
        <f>'37_2'!A89</f>
        <v>2407</v>
      </c>
      <c r="F15">
        <f>'37_2'!N15</f>
        <v>0.39285776112494319</v>
      </c>
      <c r="G15">
        <f>'42_1'!A41</f>
        <v>2074</v>
      </c>
      <c r="H15">
        <f>'42_1'!N15</f>
        <v>0.38350386835474282</v>
      </c>
      <c r="I15">
        <f>'42_2'!A39</f>
        <v>1989</v>
      </c>
      <c r="J15">
        <f>'42_2'!N15</f>
        <v>0.38855837602560023</v>
      </c>
      <c r="K15">
        <v>1482</v>
      </c>
      <c r="L15">
        <f>'48_1'!N15</f>
        <v>0.37979894167989153</v>
      </c>
      <c r="M15">
        <f>'48_2'!A37</f>
        <v>1559</v>
      </c>
      <c r="N15">
        <f>'48_2'!N15</f>
        <v>0.3741057793448917</v>
      </c>
    </row>
    <row r="16" spans="1:14" x14ac:dyDescent="0.2">
      <c r="A16">
        <f>'20_1'!A78</f>
        <v>9417</v>
      </c>
      <c r="B16">
        <f>'20_1'!N16</f>
        <v>0.43072289598119956</v>
      </c>
      <c r="C16">
        <f>'37_1'!A54</f>
        <v>2609</v>
      </c>
      <c r="D16">
        <f>'37_1'!N16</f>
        <v>0.39183676475105811</v>
      </c>
      <c r="E16">
        <f>'37_2'!A90</f>
        <v>2559</v>
      </c>
      <c r="F16">
        <f>'37_2'!N16</f>
        <v>0.39504169892778168</v>
      </c>
      <c r="G16">
        <f>'42_1'!A42</f>
        <v>2196</v>
      </c>
      <c r="H16">
        <f>'42_1'!N16</f>
        <v>0.38610075363040902</v>
      </c>
      <c r="I16">
        <f>'42_2'!A40</f>
        <v>2110</v>
      </c>
      <c r="J16">
        <f>'42_2'!N16</f>
        <v>0.38628141891637197</v>
      </c>
      <c r="K16">
        <v>1574</v>
      </c>
      <c r="L16">
        <f>'48_1'!N16</f>
        <v>0.37786449807474592</v>
      </c>
      <c r="M16">
        <f>'48_2'!A38</f>
        <v>1650</v>
      </c>
      <c r="N16">
        <f>'48_2'!N16</f>
        <v>0.38235742959807856</v>
      </c>
    </row>
    <row r="17" spans="1:14" x14ac:dyDescent="0.2">
      <c r="A17">
        <f>'20_1'!A79</f>
        <v>10019</v>
      </c>
      <c r="B17">
        <f>'20_1'!N17</f>
        <v>0.4291832551404009</v>
      </c>
      <c r="C17">
        <f>'37_1'!A55</f>
        <v>2761</v>
      </c>
      <c r="D17">
        <f>'37_1'!N17</f>
        <v>0.39046964620030739</v>
      </c>
      <c r="E17">
        <f>'37_2'!A91</f>
        <v>2711</v>
      </c>
      <c r="F17">
        <f>'37_2'!N17</f>
        <v>0.39325814057507996</v>
      </c>
      <c r="G17">
        <f>'42_1'!A43</f>
        <v>2318</v>
      </c>
      <c r="H17">
        <f>'42_1'!N17</f>
        <v>0.38379056310390214</v>
      </c>
      <c r="I17">
        <f>'42_2'!A41</f>
        <v>2232</v>
      </c>
      <c r="J17">
        <f>'42_2'!N17</f>
        <v>0.38828103966505445</v>
      </c>
      <c r="K17">
        <v>1666</v>
      </c>
      <c r="L17">
        <f>'48_1'!N17</f>
        <v>0.37515716218723782</v>
      </c>
      <c r="M17">
        <f>'48_2'!A39</f>
        <v>1742</v>
      </c>
      <c r="N17">
        <f>'48_2'!N17</f>
        <v>0.37679212169659548</v>
      </c>
    </row>
    <row r="18" spans="1:14" x14ac:dyDescent="0.2">
      <c r="A18">
        <f>'20_1'!A80</f>
        <v>10622</v>
      </c>
      <c r="B18">
        <f>'20_1'!N18</f>
        <v>0.42960833347100996</v>
      </c>
      <c r="C18">
        <f>'37_1'!A56</f>
        <v>2913</v>
      </c>
      <c r="D18">
        <f>'37_1'!N18</f>
        <v>0.39100651657668689</v>
      </c>
      <c r="E18">
        <f>'37_2'!A92</f>
        <v>2862</v>
      </c>
      <c r="F18">
        <f>'37_2'!N18</f>
        <v>0.39222950671172541</v>
      </c>
      <c r="G18">
        <f>'42_1'!A44</f>
        <v>2440</v>
      </c>
      <c r="H18">
        <f>'42_1'!N18</f>
        <v>0.38463343620308837</v>
      </c>
      <c r="I18">
        <f>'42_2'!A42</f>
        <v>2354</v>
      </c>
      <c r="J18">
        <f>'42_2'!N18</f>
        <v>0.38696874209105836</v>
      </c>
      <c r="K18">
        <v>1758</v>
      </c>
      <c r="L18">
        <f>'48_1'!N18</f>
        <v>0.37480672565397455</v>
      </c>
      <c r="M18">
        <f>'48_2'!A40</f>
        <v>1834</v>
      </c>
      <c r="N18">
        <f>'48_2'!N18</f>
        <v>0.37726312209932822</v>
      </c>
    </row>
    <row r="19" spans="1:14" x14ac:dyDescent="0.2">
      <c r="A19">
        <f>'20_1'!A81</f>
        <v>11225</v>
      </c>
      <c r="B19">
        <f>'20_1'!N19</f>
        <v>0.43151883280024728</v>
      </c>
      <c r="C19">
        <f>'37_1'!A57</f>
        <v>3065</v>
      </c>
      <c r="D19">
        <f>'37_1'!N19</f>
        <v>0.39069307658558677</v>
      </c>
      <c r="E19">
        <f>'37_2'!A93</f>
        <v>3014</v>
      </c>
      <c r="F19">
        <f>'37_2'!N19</f>
        <v>0.39238707603852874</v>
      </c>
      <c r="G19">
        <f>'42_1'!A45</f>
        <v>2562</v>
      </c>
      <c r="H19">
        <f>'42_1'!N19</f>
        <v>0.38348094007028827</v>
      </c>
      <c r="I19">
        <f>'42_2'!A43</f>
        <v>2476</v>
      </c>
      <c r="J19">
        <f>'42_2'!N19</f>
        <v>0.38602949762357069</v>
      </c>
      <c r="K19">
        <v>1850</v>
      </c>
      <c r="L19">
        <f>'48_1'!N19</f>
        <v>0.37922132017854848</v>
      </c>
      <c r="M19">
        <f>'48_2'!A41</f>
        <v>1926</v>
      </c>
      <c r="N19">
        <f>'48_2'!N19</f>
        <v>0.37563286115764483</v>
      </c>
    </row>
    <row r="20" spans="1:14" x14ac:dyDescent="0.2">
      <c r="A20">
        <f>'20_1'!A82</f>
        <v>11828</v>
      </c>
      <c r="B20">
        <f>'20_1'!N20</f>
        <v>0.42942822780973317</v>
      </c>
      <c r="C20">
        <f>'37_1'!A58</f>
        <v>3216</v>
      </c>
      <c r="D20">
        <f>'37_1'!N20</f>
        <v>0.38707337018719379</v>
      </c>
      <c r="E20">
        <f>'37_2'!A94</f>
        <v>3166</v>
      </c>
      <c r="F20">
        <f>'37_2'!N20</f>
        <v>0.39170952366307654</v>
      </c>
      <c r="G20">
        <f>'42_1'!A46</f>
        <v>2683</v>
      </c>
      <c r="H20">
        <f>'42_1'!N20</f>
        <v>0.38458138386004653</v>
      </c>
      <c r="I20">
        <f>'42_2'!A44</f>
        <v>2598</v>
      </c>
      <c r="J20">
        <f>'42_2'!N20</f>
        <v>0.38817963196260008</v>
      </c>
      <c r="K20">
        <v>1941</v>
      </c>
      <c r="L20">
        <f>'48_1'!N20</f>
        <v>0.37859837500261362</v>
      </c>
      <c r="M20">
        <f>'48_2'!A42</f>
        <v>2018</v>
      </c>
      <c r="N20">
        <f>'48_2'!N20</f>
        <v>0.3758037058805907</v>
      </c>
    </row>
    <row r="21" spans="1:14" x14ac:dyDescent="0.2">
      <c r="A21">
        <f>'20_1'!A83</f>
        <v>12431</v>
      </c>
      <c r="B21">
        <f>'20_1'!N21</f>
        <v>0.42940809733189084</v>
      </c>
      <c r="C21">
        <f>'37_1'!A59</f>
        <v>3368</v>
      </c>
      <c r="D21">
        <f>'37_1'!N21</f>
        <v>0.38811718153448177</v>
      </c>
      <c r="E21">
        <f>'37_2'!A95</f>
        <v>3318</v>
      </c>
      <c r="F21">
        <f>'37_2'!N21</f>
        <v>0.39051427211376899</v>
      </c>
      <c r="G21">
        <f>'42_1'!A47</f>
        <v>2805</v>
      </c>
      <c r="H21">
        <f>'42_1'!N21</f>
        <v>0.38486502337367862</v>
      </c>
      <c r="I21">
        <f>'42_2'!A45</f>
        <v>2720</v>
      </c>
      <c r="J21">
        <f>'42_2'!N21</f>
        <v>0.38623051110308554</v>
      </c>
      <c r="K21">
        <v>2033</v>
      </c>
      <c r="L21">
        <f>'48_1'!N21</f>
        <v>0.37762075848884713</v>
      </c>
      <c r="M21">
        <f>'48_2'!A43</f>
        <v>2110</v>
      </c>
      <c r="N21">
        <f>'48_2'!N21</f>
        <v>0.36826134943529321</v>
      </c>
    </row>
    <row r="22" spans="1:14" x14ac:dyDescent="0.2">
      <c r="A22">
        <f>'20_1'!A84</f>
        <v>13033</v>
      </c>
      <c r="B22">
        <f>'20_1'!N22</f>
        <v>0.42879845780586195</v>
      </c>
      <c r="C22">
        <f>'37_1'!A60</f>
        <v>3520</v>
      </c>
      <c r="D22">
        <f>'37_1'!N22</f>
        <v>0.38825800410442657</v>
      </c>
      <c r="E22">
        <f>'37_2'!A96</f>
        <v>3470</v>
      </c>
      <c r="F22">
        <f>'37_2'!N22</f>
        <v>0.39254590728743477</v>
      </c>
      <c r="G22">
        <f>'42_1'!A48</f>
        <v>2927</v>
      </c>
      <c r="H22">
        <f>'42_1'!N22</f>
        <v>0.38383906651207955</v>
      </c>
      <c r="I22">
        <f>'42_2'!A46</f>
        <v>2842</v>
      </c>
      <c r="J22">
        <f>'42_2'!N22</f>
        <v>0.3870467571728054</v>
      </c>
    </row>
    <row r="23" spans="1:14" x14ac:dyDescent="0.2">
      <c r="A23">
        <f>'20_1'!A85</f>
        <v>13636</v>
      </c>
      <c r="B23">
        <f>'20_1'!N23</f>
        <v>0.43206787420153703</v>
      </c>
      <c r="C23">
        <f>'37_1'!A61</f>
        <v>3672</v>
      </c>
      <c r="D23">
        <f>'37_1'!N23</f>
        <v>0.3866678849957596</v>
      </c>
      <c r="E23">
        <f>'37_2'!A97</f>
        <v>3622</v>
      </c>
      <c r="F23">
        <f>'37_2'!N23</f>
        <v>0.39301579723688679</v>
      </c>
      <c r="G23">
        <f>'42_1'!A49</f>
        <v>3049</v>
      </c>
      <c r="H23">
        <f>'42_1'!N23</f>
        <v>0.38453598609090711</v>
      </c>
      <c r="I23">
        <f>'42_2'!A47</f>
        <v>2963</v>
      </c>
      <c r="J23">
        <f>'42_2'!N23</f>
        <v>0.38719390859107766</v>
      </c>
    </row>
    <row r="24" spans="1:14" x14ac:dyDescent="0.2">
      <c r="A24">
        <f>'20_1'!A86</f>
        <v>14239</v>
      </c>
      <c r="B24">
        <f>'20_1'!N24</f>
        <v>0.42842362401762241</v>
      </c>
      <c r="C24">
        <f>'37_1'!A62</f>
        <v>3824</v>
      </c>
      <c r="D24">
        <f>'37_1'!N24</f>
        <v>0.38644069076967308</v>
      </c>
      <c r="E24">
        <f>'37_2'!A98</f>
        <v>3773</v>
      </c>
      <c r="F24">
        <f>'37_2'!N24</f>
        <v>0.39008759362864642</v>
      </c>
      <c r="G24">
        <f>'42_1'!A50</f>
        <v>3171</v>
      </c>
      <c r="H24">
        <f>'42_1'!N24</f>
        <v>0.38113930725789458</v>
      </c>
    </row>
    <row r="25" spans="1:14" x14ac:dyDescent="0.2">
      <c r="A25">
        <f>'20_1'!A87</f>
        <v>14842</v>
      </c>
      <c r="B25">
        <f>'20_1'!N25</f>
        <v>0.42209510205729028</v>
      </c>
      <c r="C25">
        <f>'37_1'!A63</f>
        <v>3976</v>
      </c>
      <c r="D25">
        <f>'37_1'!N25</f>
        <v>0.388127300884688</v>
      </c>
      <c r="E25">
        <f>'37_2'!A99</f>
        <v>3925</v>
      </c>
      <c r="F25">
        <f>'37_2'!N25</f>
        <v>0.3937359170686287</v>
      </c>
      <c r="G25">
        <f>'42_1'!A51</f>
        <v>3293</v>
      </c>
      <c r="H25">
        <f>'42_1'!N25</f>
        <v>0.38510777058314588</v>
      </c>
    </row>
    <row r="26" spans="1:14" x14ac:dyDescent="0.2">
      <c r="A26">
        <f>'20_1'!A88</f>
        <v>15444</v>
      </c>
      <c r="B26">
        <f>'20_1'!N26</f>
        <v>0.42675435603689521</v>
      </c>
      <c r="C26">
        <f>'37_1'!A64</f>
        <v>4127</v>
      </c>
      <c r="D26">
        <f>'37_1'!N26</f>
        <v>0.38778370858997546</v>
      </c>
      <c r="E26">
        <f>'37_2'!A100</f>
        <v>4077</v>
      </c>
      <c r="F26">
        <f>'37_2'!N26</f>
        <v>0.38999251278737951</v>
      </c>
    </row>
    <row r="27" spans="1:14" x14ac:dyDescent="0.2">
      <c r="A27">
        <f>'20_1'!A89</f>
        <v>16047</v>
      </c>
      <c r="B27">
        <f>'20_1'!N27</f>
        <v>0.42589782466949178</v>
      </c>
      <c r="C27">
        <f>'37_1'!A65</f>
        <v>4279</v>
      </c>
      <c r="D27">
        <f>'37_1'!N27</f>
        <v>0.38584243618890562</v>
      </c>
      <c r="E27">
        <f>'37_2'!A101</f>
        <v>4229</v>
      </c>
      <c r="F27">
        <f>'37_2'!N27</f>
        <v>0.39345675174418526</v>
      </c>
    </row>
    <row r="28" spans="1:14" x14ac:dyDescent="0.2">
      <c r="A28">
        <f>'20_1'!A90</f>
        <v>16650</v>
      </c>
      <c r="B28">
        <f>'20_1'!N28</f>
        <v>0.42513101250608726</v>
      </c>
      <c r="C28">
        <f>'37_1'!A66</f>
        <v>4431</v>
      </c>
      <c r="D28">
        <f>'37_1'!N28</f>
        <v>0.38680977427300156</v>
      </c>
      <c r="E28">
        <f>'37_2'!A102</f>
        <v>4381</v>
      </c>
      <c r="F28">
        <f>'37_2'!N28</f>
        <v>0.39112292230602497</v>
      </c>
    </row>
    <row r="29" spans="1:14" x14ac:dyDescent="0.2">
      <c r="A29">
        <f>'20_1'!A91</f>
        <v>17253</v>
      </c>
      <c r="B29">
        <f>'20_1'!N29</f>
        <v>0.42264991812979869</v>
      </c>
      <c r="C29">
        <f>'37_1'!A67</f>
        <v>4583</v>
      </c>
      <c r="D29">
        <f>'37_1'!N29</f>
        <v>0.38728588500482197</v>
      </c>
      <c r="E29">
        <f>'37_2'!A103</f>
        <v>4533</v>
      </c>
      <c r="F29">
        <f>'37_2'!N29</f>
        <v>0.39054770263107363</v>
      </c>
    </row>
    <row r="30" spans="1:14" x14ac:dyDescent="0.2">
      <c r="A30">
        <f>'20_1'!A92</f>
        <v>17856</v>
      </c>
      <c r="B30">
        <f>'20_1'!N30</f>
        <v>0.42361549361862144</v>
      </c>
      <c r="C30">
        <f>'37_1'!A68</f>
        <v>4735</v>
      </c>
      <c r="D30">
        <f>'37_1'!N30</f>
        <v>0.38592840856038851</v>
      </c>
      <c r="E30">
        <f>'37_2'!A104</f>
        <v>4684</v>
      </c>
      <c r="F30">
        <f>'37_2'!N30</f>
        <v>0.38869496218742888</v>
      </c>
    </row>
    <row r="31" spans="1:14" x14ac:dyDescent="0.2">
      <c r="A31">
        <f>'20_1'!A93</f>
        <v>18458</v>
      </c>
      <c r="B31">
        <f>'20_1'!N31</f>
        <v>0.42367360012836552</v>
      </c>
      <c r="C31">
        <f>'37_1'!A69</f>
        <v>4887</v>
      </c>
      <c r="D31">
        <f>'37_1'!N31</f>
        <v>0.3862622453712854</v>
      </c>
      <c r="E31">
        <f>'37_2'!A105</f>
        <v>4836</v>
      </c>
      <c r="F31">
        <f>'37_2'!N31</f>
        <v>0.39089807103293761</v>
      </c>
    </row>
    <row r="32" spans="1:14" x14ac:dyDescent="0.2">
      <c r="A32">
        <f>'20_1'!A94</f>
        <v>19061</v>
      </c>
      <c r="B32">
        <f>'20_1'!N32</f>
        <v>0.42289389010655876</v>
      </c>
      <c r="C32">
        <f>'37_1'!A70</f>
        <v>5039</v>
      </c>
      <c r="D32">
        <f>'37_1'!N32</f>
        <v>0.3863578184983722</v>
      </c>
      <c r="E32">
        <f>'37_2'!A106</f>
        <v>4988</v>
      </c>
      <c r="F32">
        <f>'37_2'!N32</f>
        <v>0.39004780716503179</v>
      </c>
    </row>
    <row r="33" spans="1:6" x14ac:dyDescent="0.2">
      <c r="A33">
        <f>'20_1'!A95</f>
        <v>19664</v>
      </c>
      <c r="B33">
        <f>'20_1'!N33</f>
        <v>0.4231258374885129</v>
      </c>
      <c r="C33">
        <f>'37_1'!A71</f>
        <v>5190</v>
      </c>
      <c r="D33">
        <f>'37_1'!N33</f>
        <v>0.3866335716606113</v>
      </c>
      <c r="E33">
        <f>'37_2'!A107</f>
        <v>5140</v>
      </c>
      <c r="F33">
        <f>'37_2'!N33</f>
        <v>0.39082430335188123</v>
      </c>
    </row>
    <row r="34" spans="1:6" x14ac:dyDescent="0.2">
      <c r="A34">
        <f>'20_1'!A96</f>
        <v>20267</v>
      </c>
      <c r="B34">
        <f>'20_1'!N34</f>
        <v>0.42160685501940204</v>
      </c>
      <c r="C34">
        <f>'37_1'!A72</f>
        <v>5342</v>
      </c>
      <c r="D34">
        <f>'37_1'!N34</f>
        <v>0.3854755135526215</v>
      </c>
      <c r="E34">
        <f>'37_2'!A108</f>
        <v>5292</v>
      </c>
      <c r="F34">
        <f>'37_2'!N34</f>
        <v>0.39069119315912804</v>
      </c>
    </row>
    <row r="35" spans="1:6" x14ac:dyDescent="0.2">
      <c r="A35">
        <f>'20_1'!A97</f>
        <v>20869</v>
      </c>
      <c r="B35">
        <f>'20_1'!N35</f>
        <v>0.42242836300563019</v>
      </c>
      <c r="C35">
        <f>'37_1'!A73</f>
        <v>5494</v>
      </c>
      <c r="D35">
        <f>'37_1'!N35</f>
        <v>0.38663332422216984</v>
      </c>
      <c r="E35">
        <f>'37_2'!A109</f>
        <v>5444</v>
      </c>
      <c r="F35">
        <f>'37_2'!N35</f>
        <v>0.39052658168153276</v>
      </c>
    </row>
    <row r="36" spans="1:6" x14ac:dyDescent="0.2">
      <c r="A36">
        <f>'20_1'!A98</f>
        <v>21472</v>
      </c>
      <c r="B36">
        <f>'20_1'!N36</f>
        <v>0.42229941670208782</v>
      </c>
      <c r="C36">
        <f>'37_1'!A74</f>
        <v>5646</v>
      </c>
      <c r="D36">
        <f>'37_1'!N36</f>
        <v>0.38641804365628823</v>
      </c>
      <c r="E36">
        <f>'37_2'!A110</f>
        <v>5595</v>
      </c>
      <c r="F36">
        <f>'37_2'!N36</f>
        <v>0.39125310536448549</v>
      </c>
    </row>
    <row r="37" spans="1:6" x14ac:dyDescent="0.2">
      <c r="A37">
        <f>'20_1'!A99</f>
        <v>22075</v>
      </c>
      <c r="B37">
        <f>'20_1'!N37</f>
        <v>0.41921170149464415</v>
      </c>
      <c r="C37">
        <f>'37_1'!A75</f>
        <v>5798</v>
      </c>
      <c r="D37">
        <f>'37_1'!N37</f>
        <v>0.38756501239603197</v>
      </c>
      <c r="E37">
        <f>'37_2'!A111</f>
        <v>5747</v>
      </c>
      <c r="F37">
        <f>'37_2'!N37</f>
        <v>0.39070552089574073</v>
      </c>
    </row>
    <row r="38" spans="1:6" x14ac:dyDescent="0.2">
      <c r="A38">
        <f>'20_1'!A100</f>
        <v>22678</v>
      </c>
      <c r="B38">
        <f>'20_1'!N38</f>
        <v>0.41684294859353926</v>
      </c>
      <c r="E38">
        <f>'37_2'!A112</f>
        <v>5899</v>
      </c>
      <c r="F38">
        <f>'37_2'!N38</f>
        <v>0.38838959595290073</v>
      </c>
    </row>
    <row r="39" spans="1:6" x14ac:dyDescent="0.2">
      <c r="A39">
        <f>'20_1'!A101</f>
        <v>23281</v>
      </c>
      <c r="B39">
        <f>'20_1'!N39</f>
        <v>0.41981692540786553</v>
      </c>
      <c r="E39">
        <f>'37_2'!A113</f>
        <v>6051</v>
      </c>
      <c r="F39">
        <f>'37_2'!N39</f>
        <v>0.39327029244674988</v>
      </c>
    </row>
    <row r="40" spans="1:6" x14ac:dyDescent="0.2">
      <c r="A40">
        <f>'20_1'!A102</f>
        <v>23883</v>
      </c>
      <c r="B40">
        <f>'20_1'!N40</f>
        <v>0.42130635526222138</v>
      </c>
      <c r="E40">
        <f>'37_2'!A114</f>
        <v>6203</v>
      </c>
      <c r="F40">
        <f>'37_2'!N40</f>
        <v>0.39090323790873366</v>
      </c>
    </row>
    <row r="41" spans="1:6" x14ac:dyDescent="0.2">
      <c r="A41">
        <f>'20_1'!A103</f>
        <v>24486</v>
      </c>
      <c r="B41">
        <f>'20_1'!N41</f>
        <v>0.41828979785992898</v>
      </c>
      <c r="E41">
        <f>'37_2'!A115</f>
        <v>6355</v>
      </c>
      <c r="F41">
        <f>'37_2'!N41</f>
        <v>0.38912172188841593</v>
      </c>
    </row>
    <row r="42" spans="1:6" x14ac:dyDescent="0.2">
      <c r="A42">
        <f>'20_1'!A104</f>
        <v>25089</v>
      </c>
      <c r="B42">
        <f>'20_1'!N42</f>
        <v>0.42109802160250137</v>
      </c>
      <c r="E42">
        <f>'37_2'!A116</f>
        <v>6506</v>
      </c>
      <c r="F42">
        <f>'37_2'!N42</f>
        <v>0.39034388304322748</v>
      </c>
    </row>
    <row r="43" spans="1:6" x14ac:dyDescent="0.2">
      <c r="A43">
        <f>'20_1'!A105</f>
        <v>25692</v>
      </c>
      <c r="B43">
        <f>'20_1'!N43</f>
        <v>0.42082635737295448</v>
      </c>
      <c r="E43">
        <f>'37_2'!A117</f>
        <v>6658</v>
      </c>
      <c r="F43">
        <f>'37_2'!N43</f>
        <v>0.39253543325098167</v>
      </c>
    </row>
    <row r="44" spans="1:6" x14ac:dyDescent="0.2">
      <c r="A44">
        <f>'20_1'!A106</f>
        <v>26295</v>
      </c>
      <c r="B44">
        <f>'20_1'!N44</f>
        <v>0.42301650174129002</v>
      </c>
      <c r="E44">
        <f>'37_2'!A118</f>
        <v>6810</v>
      </c>
      <c r="F44">
        <f>'37_2'!N44</f>
        <v>0.39014349876639259</v>
      </c>
    </row>
    <row r="45" spans="1:6" x14ac:dyDescent="0.2">
      <c r="A45">
        <f>'20_1'!A107</f>
        <v>26897</v>
      </c>
      <c r="B45">
        <f>'20_1'!N45</f>
        <v>0.42293001603888525</v>
      </c>
      <c r="E45">
        <f>'37_2'!A119</f>
        <v>6962</v>
      </c>
      <c r="F45">
        <f>'37_2'!N45</f>
        <v>0.38745072033861661</v>
      </c>
    </row>
    <row r="46" spans="1:6" x14ac:dyDescent="0.2">
      <c r="A46">
        <f>'20_1'!A108</f>
        <v>27500</v>
      </c>
      <c r="B46">
        <f>'20_1'!N46</f>
        <v>0.42095887353812239</v>
      </c>
      <c r="E46">
        <f>'37_2'!A120</f>
        <v>7114</v>
      </c>
      <c r="F46">
        <f>'37_2'!N46</f>
        <v>0.38726715555021796</v>
      </c>
    </row>
    <row r="47" spans="1:6" x14ac:dyDescent="0.2">
      <c r="A47">
        <f>'20_1'!A109</f>
        <v>28103</v>
      </c>
      <c r="B47">
        <f>'20_1'!N47</f>
        <v>0.42284297896706058</v>
      </c>
      <c r="E47">
        <f>'37_2'!A121</f>
        <v>7266</v>
      </c>
      <c r="F47">
        <f>'37_2'!N47</f>
        <v>0.39047946547455487</v>
      </c>
    </row>
    <row r="48" spans="1:6" x14ac:dyDescent="0.2">
      <c r="A48">
        <f>'20_1'!A110</f>
        <v>28706</v>
      </c>
      <c r="B48">
        <f>'20_1'!N48</f>
        <v>0.41918461130516876</v>
      </c>
      <c r="E48">
        <f>'37_2'!A122</f>
        <v>7417</v>
      </c>
      <c r="F48">
        <f>'37_2'!N48</f>
        <v>0.38855043704546993</v>
      </c>
    </row>
    <row r="49" spans="1:6" x14ac:dyDescent="0.2">
      <c r="A49">
        <f>'20_1'!A111</f>
        <v>29308</v>
      </c>
      <c r="B49">
        <f>'20_1'!N49</f>
        <v>0.41994279392666262</v>
      </c>
      <c r="E49">
        <f>'37_2'!A123</f>
        <v>7569</v>
      </c>
      <c r="F49">
        <f>'37_2'!N49</f>
        <v>0.39049084317471983</v>
      </c>
    </row>
    <row r="50" spans="1:6" x14ac:dyDescent="0.2">
      <c r="A50">
        <f>'20_1'!A112</f>
        <v>29911</v>
      </c>
      <c r="B50">
        <f>'20_1'!N50</f>
        <v>0.41917340830817706</v>
      </c>
      <c r="E50">
        <f>'37_2'!A124</f>
        <v>7721</v>
      </c>
      <c r="F50">
        <f>'37_2'!N50</f>
        <v>0.39058073981966768</v>
      </c>
    </row>
    <row r="51" spans="1:6" x14ac:dyDescent="0.2">
      <c r="A51">
        <f>'20_1'!A113</f>
        <v>30514</v>
      </c>
      <c r="B51">
        <f>'20_1'!N51</f>
        <v>0.42100869060947377</v>
      </c>
      <c r="E51">
        <f>'37_2'!A125</f>
        <v>7873</v>
      </c>
      <c r="F51">
        <f>'37_2'!N51</f>
        <v>0.38881789342174378</v>
      </c>
    </row>
    <row r="52" spans="1:6" x14ac:dyDescent="0.2">
      <c r="A52">
        <f>'20_1'!A114</f>
        <v>31117</v>
      </c>
      <c r="B52">
        <f>'20_1'!N52</f>
        <v>0.42126769989469198</v>
      </c>
      <c r="E52">
        <f>'37_2'!A126</f>
        <v>8025</v>
      </c>
      <c r="F52">
        <f>'37_2'!N52</f>
        <v>0.39232150346841638</v>
      </c>
    </row>
    <row r="53" spans="1:6" x14ac:dyDescent="0.2">
      <c r="A53">
        <f>'20_1'!A115</f>
        <v>31720</v>
      </c>
      <c r="B53">
        <f>'20_1'!N53</f>
        <v>0.41406617863793144</v>
      </c>
      <c r="E53">
        <f>'37_2'!A127</f>
        <v>8177</v>
      </c>
      <c r="F53">
        <f>'37_2'!N53</f>
        <v>0.38973046788021432</v>
      </c>
    </row>
    <row r="54" spans="1:6" x14ac:dyDescent="0.2">
      <c r="A54">
        <f>'20_1'!A116</f>
        <v>32322</v>
      </c>
      <c r="B54">
        <f>'20_1'!N54</f>
        <v>0.42003088456198429</v>
      </c>
      <c r="E54">
        <f>'37_2'!A128</f>
        <v>8329</v>
      </c>
      <c r="F54">
        <f>'37_2'!N54</f>
        <v>0.38654767539045742</v>
      </c>
    </row>
    <row r="55" spans="1:6" x14ac:dyDescent="0.2">
      <c r="A55">
        <f>'20_1'!A117</f>
        <v>32925</v>
      </c>
      <c r="B55">
        <f>'20_1'!N55</f>
        <v>0.42392283542651776</v>
      </c>
      <c r="E55">
        <f>'37_2'!A129</f>
        <v>8480</v>
      </c>
      <c r="F55">
        <f>'37_2'!N55</f>
        <v>0.38749748762503566</v>
      </c>
    </row>
    <row r="56" spans="1:6" x14ac:dyDescent="0.2">
      <c r="A56">
        <f>'20_1'!A118</f>
        <v>33528</v>
      </c>
      <c r="B56">
        <f>'20_1'!N56</f>
        <v>0.4174635482698863</v>
      </c>
      <c r="E56">
        <f>'37_2'!A130</f>
        <v>8632</v>
      </c>
      <c r="F56">
        <f>'37_2'!N56</f>
        <v>0.38676543825711018</v>
      </c>
    </row>
    <row r="57" spans="1:6" x14ac:dyDescent="0.2">
      <c r="A57">
        <f>'20_1'!A119</f>
        <v>34131</v>
      </c>
      <c r="B57">
        <f>'20_1'!N57</f>
        <v>0.41728835885178561</v>
      </c>
      <c r="E57">
        <f>'37_2'!A131</f>
        <v>8784</v>
      </c>
      <c r="F57">
        <f>'37_2'!N57</f>
        <v>0.39310360551021029</v>
      </c>
    </row>
    <row r="58" spans="1:6" x14ac:dyDescent="0.2">
      <c r="A58">
        <f>'20_1'!A120</f>
        <v>34733</v>
      </c>
      <c r="B58">
        <f>'20_1'!N58</f>
        <v>0.4215813646219575</v>
      </c>
      <c r="E58">
        <f>'37_2'!A132</f>
        <v>8936</v>
      </c>
      <c r="F58">
        <f>'37_2'!N58</f>
        <v>0.38787288748399917</v>
      </c>
    </row>
    <row r="59" spans="1:6" x14ac:dyDescent="0.2">
      <c r="A59">
        <f>'20_1'!A121</f>
        <v>35336</v>
      </c>
      <c r="B59">
        <f>'20_1'!N59</f>
        <v>0.4200674778355325</v>
      </c>
      <c r="E59">
        <f>'37_2'!A133</f>
        <v>9088</v>
      </c>
      <c r="F59">
        <f>'37_2'!N59</f>
        <v>0.38970081694978337</v>
      </c>
    </row>
    <row r="60" spans="1:6" x14ac:dyDescent="0.2">
      <c r="A60">
        <f>'20_1'!A122</f>
        <v>35939</v>
      </c>
      <c r="B60">
        <f>'20_1'!N60</f>
        <v>0.41864038128987791</v>
      </c>
      <c r="E60">
        <f>'37_2'!A134</f>
        <v>9240</v>
      </c>
      <c r="F60">
        <f>'37_2'!N60</f>
        <v>0.3860742526638411</v>
      </c>
    </row>
    <row r="61" spans="1:6" x14ac:dyDescent="0.2">
      <c r="A61">
        <f>'20_1'!A123</f>
        <v>36542</v>
      </c>
      <c r="B61">
        <f>'20_1'!N61</f>
        <v>0.42136693675489001</v>
      </c>
      <c r="E61">
        <f>'37_2'!A135</f>
        <v>9391</v>
      </c>
      <c r="F61">
        <f>'37_2'!N61</f>
        <v>0.38870140360326672</v>
      </c>
    </row>
    <row r="62" spans="1:6" x14ac:dyDescent="0.2">
      <c r="E62">
        <f>'37_2'!A136</f>
        <v>9543</v>
      </c>
      <c r="F62">
        <f>'37_2'!N62</f>
        <v>0.38876009332183054</v>
      </c>
    </row>
    <row r="63" spans="1:6" x14ac:dyDescent="0.2">
      <c r="E63">
        <f>'37_2'!A137</f>
        <v>9695</v>
      </c>
      <c r="F63">
        <f>'37_2'!N63</f>
        <v>0.39300500374752884</v>
      </c>
    </row>
    <row r="64" spans="1:6" x14ac:dyDescent="0.2">
      <c r="E64">
        <f>'37_2'!A138</f>
        <v>9847</v>
      </c>
      <c r="F64">
        <f>'37_2'!N64</f>
        <v>0.3874300936970656</v>
      </c>
    </row>
    <row r="65" spans="5:6" x14ac:dyDescent="0.2">
      <c r="E65">
        <f>'37_2'!A139</f>
        <v>9999</v>
      </c>
      <c r="F65">
        <f>'37_2'!N65</f>
        <v>0.38849461814800895</v>
      </c>
    </row>
    <row r="66" spans="5:6" x14ac:dyDescent="0.2">
      <c r="E66">
        <f>'37_2'!A140</f>
        <v>10151</v>
      </c>
      <c r="F66">
        <f>'37_2'!N66</f>
        <v>0.38799205209173193</v>
      </c>
    </row>
    <row r="67" spans="5:6" x14ac:dyDescent="0.2">
      <c r="E67">
        <f>'37_2'!A141</f>
        <v>10302</v>
      </c>
      <c r="F67">
        <f>'37_2'!N67</f>
        <v>0.39009013862442193</v>
      </c>
    </row>
    <row r="68" spans="5:6" x14ac:dyDescent="0.2">
      <c r="E68">
        <f>'37_2'!A142</f>
        <v>10454</v>
      </c>
      <c r="F68">
        <f>'37_2'!N68</f>
        <v>0.39109296306218799</v>
      </c>
    </row>
    <row r="69" spans="5:6" x14ac:dyDescent="0.2">
      <c r="E69">
        <f>'37_2'!A143</f>
        <v>10606</v>
      </c>
      <c r="F69">
        <f>'37_2'!N69</f>
        <v>0.38740644313503597</v>
      </c>
    </row>
    <row r="70" spans="5:6" x14ac:dyDescent="0.2">
      <c r="E70">
        <f>'37_2'!A144</f>
        <v>10758</v>
      </c>
      <c r="F70">
        <f>'37_2'!N70</f>
        <v>0.38934227096295404</v>
      </c>
    </row>
    <row r="71" spans="5:6" x14ac:dyDescent="0.2">
      <c r="E71">
        <f>'37_2'!A145</f>
        <v>10910</v>
      </c>
      <c r="F71">
        <f>'37_2'!N71</f>
        <v>0.38940841833357975</v>
      </c>
    </row>
    <row r="72" spans="5:6" x14ac:dyDescent="0.2">
      <c r="E72">
        <f>'37_2'!A146</f>
        <v>11062</v>
      </c>
      <c r="F72">
        <f>'37_2'!N72</f>
        <v>0.38752812412394727</v>
      </c>
    </row>
    <row r="73" spans="5:6" x14ac:dyDescent="0.2">
      <c r="E73">
        <f>'37_2'!A147</f>
        <v>11213</v>
      </c>
      <c r="F73">
        <f>'37_2'!N73</f>
        <v>0.38761213561804808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385B-8D83-DA43-8268-37F238199CD5}">
  <dimension ref="A1:N185"/>
  <sheetViews>
    <sheetView topLeftCell="G1" workbookViewId="0">
      <selection activeCell="N2" sqref="N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93</v>
      </c>
      <c r="M1" t="s">
        <v>94</v>
      </c>
      <c r="N1" t="s">
        <v>95</v>
      </c>
    </row>
    <row r="2" spans="1:14" x14ac:dyDescent="0.2">
      <c r="A2">
        <v>978</v>
      </c>
      <c r="B2">
        <v>0.55453300000000005</v>
      </c>
      <c r="C2">
        <v>229.30500000000001</v>
      </c>
      <c r="D2">
        <v>242.12100000000001</v>
      </c>
      <c r="E2">
        <v>41173.5</v>
      </c>
      <c r="F2">
        <v>215.43899999999999</v>
      </c>
      <c r="G2">
        <v>337.572</v>
      </c>
      <c r="H2">
        <v>35034.6</v>
      </c>
      <c r="I2">
        <v>228.227</v>
      </c>
      <c r="J2">
        <v>-22.6069</v>
      </c>
      <c r="L2">
        <f>SUM(B2:J2)</f>
        <v>77438.711632999999</v>
      </c>
      <c r="M2">
        <f>E2/L2</f>
        <v>0.53169143871001834</v>
      </c>
      <c r="N2">
        <f>H2/L2</f>
        <v>0.45241713428855956</v>
      </c>
    </row>
    <row r="3" spans="1:14" x14ac:dyDescent="0.2">
      <c r="A3">
        <v>1581</v>
      </c>
      <c r="B3">
        <v>12.8803</v>
      </c>
      <c r="C3">
        <v>200.17699999999999</v>
      </c>
      <c r="D3">
        <v>333.089</v>
      </c>
      <c r="E3">
        <v>40189</v>
      </c>
      <c r="F3">
        <v>210.77600000000001</v>
      </c>
      <c r="G3">
        <v>180.05699999999999</v>
      </c>
      <c r="H3">
        <v>33687.5</v>
      </c>
      <c r="I3">
        <v>214.571</v>
      </c>
      <c r="J3">
        <v>-23.649699999999999</v>
      </c>
      <c r="L3">
        <f t="shared" ref="L3:L66" si="0">SUM(B3:J3)</f>
        <v>75004.400600000008</v>
      </c>
      <c r="M3">
        <f t="shared" ref="M3:M61" si="1">E3/L3</f>
        <v>0.53582189416230064</v>
      </c>
      <c r="N3">
        <f t="shared" ref="N3:N61" si="2">H3/L3</f>
        <v>0.44914031350848493</v>
      </c>
    </row>
    <row r="4" spans="1:14" x14ac:dyDescent="0.2">
      <c r="A4">
        <v>2183</v>
      </c>
      <c r="B4">
        <v>15.794700000000001</v>
      </c>
      <c r="C4">
        <v>244.292</v>
      </c>
      <c r="D4">
        <v>543.62800000000004</v>
      </c>
      <c r="E4">
        <v>39745.1</v>
      </c>
      <c r="F4">
        <v>187.42699999999999</v>
      </c>
      <c r="G4">
        <v>162.732</v>
      </c>
      <c r="H4">
        <v>33022.699999999997</v>
      </c>
      <c r="I4">
        <v>200.477</v>
      </c>
      <c r="J4">
        <v>-14.7151</v>
      </c>
      <c r="L4">
        <f t="shared" si="0"/>
        <v>74107.435599999997</v>
      </c>
      <c r="M4">
        <f t="shared" si="1"/>
        <v>0.53631730309124337</v>
      </c>
      <c r="N4">
        <f t="shared" si="2"/>
        <v>0.44560575781143341</v>
      </c>
    </row>
    <row r="5" spans="1:14" x14ac:dyDescent="0.2">
      <c r="A5">
        <v>2786</v>
      </c>
      <c r="B5">
        <v>34.998699999999999</v>
      </c>
      <c r="C5">
        <v>209.31299999999999</v>
      </c>
      <c r="D5">
        <v>566.255</v>
      </c>
      <c r="E5">
        <v>39185.1</v>
      </c>
      <c r="F5">
        <v>217.53700000000001</v>
      </c>
      <c r="G5">
        <v>156.96299999999999</v>
      </c>
      <c r="H5">
        <v>32464.799999999999</v>
      </c>
      <c r="I5">
        <v>159.899</v>
      </c>
      <c r="J5">
        <v>4.05748</v>
      </c>
      <c r="L5">
        <f t="shared" si="0"/>
        <v>72998.923180000013</v>
      </c>
      <c r="M5">
        <f t="shared" si="1"/>
        <v>0.5367901099496738</v>
      </c>
      <c r="N5">
        <f t="shared" si="2"/>
        <v>0.44472984786294206</v>
      </c>
    </row>
    <row r="6" spans="1:14" x14ac:dyDescent="0.2">
      <c r="A6">
        <v>3389</v>
      </c>
      <c r="B6">
        <v>33.191400000000002</v>
      </c>
      <c r="C6">
        <v>269.19400000000002</v>
      </c>
      <c r="D6">
        <v>899.85900000000004</v>
      </c>
      <c r="E6">
        <v>38988.9</v>
      </c>
      <c r="F6">
        <v>203.483</v>
      </c>
      <c r="G6">
        <v>274.29300000000001</v>
      </c>
      <c r="H6">
        <v>32289.5</v>
      </c>
      <c r="I6">
        <v>199.471</v>
      </c>
      <c r="J6">
        <v>-1.0541199999999999</v>
      </c>
      <c r="L6">
        <f t="shared" si="0"/>
        <v>73156.837280000007</v>
      </c>
      <c r="M6">
        <f t="shared" si="1"/>
        <v>0.53294950205097213</v>
      </c>
      <c r="N6">
        <f t="shared" si="2"/>
        <v>0.44137364599860129</v>
      </c>
    </row>
    <row r="7" spans="1:14" x14ac:dyDescent="0.2">
      <c r="A7">
        <v>3992</v>
      </c>
      <c r="B7">
        <v>52.291899999999998</v>
      </c>
      <c r="C7">
        <v>255.79599999999999</v>
      </c>
      <c r="D7">
        <v>953.00599999999997</v>
      </c>
      <c r="E7">
        <v>38567.1</v>
      </c>
      <c r="F7">
        <v>186.99</v>
      </c>
      <c r="G7">
        <v>265.77300000000002</v>
      </c>
      <c r="H7">
        <v>31828.7</v>
      </c>
      <c r="I7">
        <v>173.995</v>
      </c>
      <c r="J7">
        <v>-3.5328200000000001</v>
      </c>
      <c r="L7">
        <f t="shared" si="0"/>
        <v>72280.119080000004</v>
      </c>
      <c r="M7">
        <f t="shared" si="1"/>
        <v>0.53357825763006472</v>
      </c>
      <c r="N7">
        <f t="shared" si="2"/>
        <v>0.44035206921521303</v>
      </c>
    </row>
    <row r="8" spans="1:14" x14ac:dyDescent="0.2">
      <c r="A8">
        <v>4595</v>
      </c>
      <c r="B8">
        <v>51.853900000000003</v>
      </c>
      <c r="C8">
        <v>298.12799999999999</v>
      </c>
      <c r="D8">
        <v>1126.3699999999999</v>
      </c>
      <c r="E8">
        <v>38386.800000000003</v>
      </c>
      <c r="F8">
        <v>232.989</v>
      </c>
      <c r="G8">
        <v>307.04399999999998</v>
      </c>
      <c r="H8">
        <v>31524</v>
      </c>
      <c r="I8">
        <v>187.75700000000001</v>
      </c>
      <c r="J8">
        <v>15.264699999999999</v>
      </c>
      <c r="L8">
        <f t="shared" si="0"/>
        <v>72130.206600000005</v>
      </c>
      <c r="M8">
        <f t="shared" si="1"/>
        <v>0.53218757867802924</v>
      </c>
      <c r="N8">
        <f t="shared" si="2"/>
        <v>0.43704297389327035</v>
      </c>
    </row>
    <row r="9" spans="1:14" x14ac:dyDescent="0.2">
      <c r="A9">
        <v>5197</v>
      </c>
      <c r="B9">
        <v>64.625399999999999</v>
      </c>
      <c r="C9">
        <v>279.291</v>
      </c>
      <c r="D9">
        <v>1164.49</v>
      </c>
      <c r="E9">
        <v>37975.699999999997</v>
      </c>
      <c r="F9">
        <v>215.43</v>
      </c>
      <c r="G9">
        <v>286.64299999999997</v>
      </c>
      <c r="H9">
        <v>31152.400000000001</v>
      </c>
      <c r="I9">
        <v>156.43199999999999</v>
      </c>
      <c r="J9">
        <v>9.0839099999999995</v>
      </c>
      <c r="L9">
        <f t="shared" si="0"/>
        <v>71304.09530999999</v>
      </c>
      <c r="M9">
        <f t="shared" si="1"/>
        <v>0.53258792268379185</v>
      </c>
      <c r="N9">
        <f t="shared" si="2"/>
        <v>0.43689496184703791</v>
      </c>
    </row>
    <row r="10" spans="1:14" x14ac:dyDescent="0.2">
      <c r="A10">
        <v>5800</v>
      </c>
      <c r="B10">
        <v>47.421300000000002</v>
      </c>
      <c r="C10">
        <v>242.35499999999999</v>
      </c>
      <c r="D10">
        <v>1117.94</v>
      </c>
      <c r="E10">
        <v>37356.1</v>
      </c>
      <c r="F10">
        <v>182.316</v>
      </c>
      <c r="G10">
        <v>104.684</v>
      </c>
      <c r="H10">
        <v>30489.7</v>
      </c>
      <c r="I10">
        <v>134.447</v>
      </c>
      <c r="J10">
        <v>29.179099999999998</v>
      </c>
      <c r="L10">
        <f t="shared" si="0"/>
        <v>69704.142399999997</v>
      </c>
      <c r="M10">
        <f t="shared" si="1"/>
        <v>0.53592367273713137</v>
      </c>
      <c r="N10">
        <f t="shared" si="2"/>
        <v>0.43741589739435632</v>
      </c>
    </row>
    <row r="11" spans="1:14" x14ac:dyDescent="0.2">
      <c r="A11">
        <v>6403</v>
      </c>
      <c r="B11">
        <v>55.581000000000003</v>
      </c>
      <c r="C11">
        <v>293.68599999999998</v>
      </c>
      <c r="D11">
        <v>1305.08</v>
      </c>
      <c r="E11">
        <v>37505.199999999997</v>
      </c>
      <c r="F11">
        <v>187.893</v>
      </c>
      <c r="G11">
        <v>202.40199999999999</v>
      </c>
      <c r="H11">
        <v>30513.9</v>
      </c>
      <c r="I11">
        <v>171.87100000000001</v>
      </c>
      <c r="J11">
        <v>13.728300000000001</v>
      </c>
      <c r="L11">
        <f t="shared" si="0"/>
        <v>70249.3413</v>
      </c>
      <c r="M11">
        <f t="shared" si="1"/>
        <v>0.53388685653056789</v>
      </c>
      <c r="N11">
        <f t="shared" si="2"/>
        <v>0.43436563867112021</v>
      </c>
    </row>
    <row r="12" spans="1:14" x14ac:dyDescent="0.2">
      <c r="A12">
        <v>7006</v>
      </c>
      <c r="B12">
        <v>99.652100000000004</v>
      </c>
      <c r="C12">
        <v>302.53800000000001</v>
      </c>
      <c r="D12">
        <v>1392.64</v>
      </c>
      <c r="E12">
        <v>37266.9</v>
      </c>
      <c r="F12">
        <v>200.70699999999999</v>
      </c>
      <c r="G12">
        <v>206.607</v>
      </c>
      <c r="H12">
        <v>30321.5</v>
      </c>
      <c r="I12">
        <v>140.88300000000001</v>
      </c>
      <c r="J12">
        <v>22.7654</v>
      </c>
      <c r="L12">
        <f t="shared" si="0"/>
        <v>69954.192500000005</v>
      </c>
      <c r="M12">
        <f t="shared" si="1"/>
        <v>0.5327329023203291</v>
      </c>
      <c r="N12">
        <f t="shared" si="2"/>
        <v>0.43344793094423895</v>
      </c>
    </row>
    <row r="13" spans="1:14" x14ac:dyDescent="0.2">
      <c r="A13">
        <v>7608</v>
      </c>
      <c r="B13">
        <v>133.72900000000001</v>
      </c>
      <c r="C13">
        <v>190.221</v>
      </c>
      <c r="D13">
        <v>1091.6099999999999</v>
      </c>
      <c r="E13">
        <v>36351.1</v>
      </c>
      <c r="F13">
        <v>159.292</v>
      </c>
      <c r="G13">
        <v>-3.6524299999999998</v>
      </c>
      <c r="H13">
        <v>29557.8</v>
      </c>
      <c r="I13">
        <v>108.10599999999999</v>
      </c>
      <c r="J13">
        <v>15.495200000000001</v>
      </c>
      <c r="L13">
        <f t="shared" si="0"/>
        <v>67603.700769999996</v>
      </c>
      <c r="M13">
        <f t="shared" si="1"/>
        <v>0.53770872875248366</v>
      </c>
      <c r="N13">
        <f t="shared" si="2"/>
        <v>0.43722162638049911</v>
      </c>
    </row>
    <row r="14" spans="1:14" x14ac:dyDescent="0.2">
      <c r="A14">
        <v>8211</v>
      </c>
      <c r="B14">
        <v>114.29300000000001</v>
      </c>
      <c r="C14">
        <v>319.17399999999998</v>
      </c>
      <c r="D14">
        <v>1546.98</v>
      </c>
      <c r="E14">
        <v>37006.699999999997</v>
      </c>
      <c r="F14">
        <v>210.21299999999999</v>
      </c>
      <c r="G14">
        <v>223.84</v>
      </c>
      <c r="H14">
        <v>29991.9</v>
      </c>
      <c r="I14">
        <v>163.875</v>
      </c>
      <c r="J14">
        <v>30.6797</v>
      </c>
      <c r="L14">
        <f t="shared" si="0"/>
        <v>69607.654699999999</v>
      </c>
      <c r="M14">
        <f t="shared" si="1"/>
        <v>0.53164698853156445</v>
      </c>
      <c r="N14">
        <f t="shared" si="2"/>
        <v>0.43087071571741953</v>
      </c>
    </row>
    <row r="15" spans="1:14" x14ac:dyDescent="0.2">
      <c r="A15">
        <v>8814</v>
      </c>
      <c r="B15">
        <v>136.941</v>
      </c>
      <c r="C15">
        <v>315.15300000000002</v>
      </c>
      <c r="D15">
        <v>1518.74</v>
      </c>
      <c r="E15">
        <v>36924.6</v>
      </c>
      <c r="F15">
        <v>257.995</v>
      </c>
      <c r="G15">
        <v>188.827</v>
      </c>
      <c r="H15">
        <v>29672.7</v>
      </c>
      <c r="I15">
        <v>96.024500000000003</v>
      </c>
      <c r="J15">
        <v>91.891499999999994</v>
      </c>
      <c r="L15">
        <f t="shared" si="0"/>
        <v>69202.872000000003</v>
      </c>
      <c r="M15">
        <f t="shared" si="1"/>
        <v>0.53357034083787735</v>
      </c>
      <c r="N15">
        <f t="shared" si="2"/>
        <v>0.42877844722976238</v>
      </c>
    </row>
    <row r="16" spans="1:14" x14ac:dyDescent="0.2">
      <c r="A16">
        <v>9417</v>
      </c>
      <c r="B16">
        <v>131.023</v>
      </c>
      <c r="C16">
        <v>298.72899999999998</v>
      </c>
      <c r="D16">
        <v>1517.7</v>
      </c>
      <c r="E16">
        <v>36605.1</v>
      </c>
      <c r="F16">
        <v>198.68100000000001</v>
      </c>
      <c r="G16">
        <v>145.386</v>
      </c>
      <c r="H16">
        <v>29532.6</v>
      </c>
      <c r="I16">
        <v>110.84</v>
      </c>
      <c r="J16">
        <v>25.137499999999999</v>
      </c>
      <c r="L16">
        <f t="shared" si="0"/>
        <v>68565.196499999976</v>
      </c>
      <c r="M16">
        <f t="shared" si="1"/>
        <v>0.53387289570445573</v>
      </c>
      <c r="N16">
        <f t="shared" si="2"/>
        <v>0.43072289598119956</v>
      </c>
    </row>
    <row r="17" spans="1:14" x14ac:dyDescent="0.2">
      <c r="A17">
        <v>10019</v>
      </c>
      <c r="B17">
        <v>133.429</v>
      </c>
      <c r="C17">
        <v>291.685</v>
      </c>
      <c r="D17">
        <v>1504.81</v>
      </c>
      <c r="E17">
        <v>36372.400000000001</v>
      </c>
      <c r="F17">
        <v>144.59299999999999</v>
      </c>
      <c r="G17">
        <v>-46.415900000000001</v>
      </c>
      <c r="H17">
        <v>28977.3</v>
      </c>
      <c r="I17">
        <v>122.252</v>
      </c>
      <c r="J17">
        <v>17.259499999999999</v>
      </c>
      <c r="L17">
        <f t="shared" si="0"/>
        <v>67517.31259999999</v>
      </c>
      <c r="M17">
        <f t="shared" si="1"/>
        <v>0.53871219986916374</v>
      </c>
      <c r="N17">
        <f t="shared" si="2"/>
        <v>0.4291832551404009</v>
      </c>
    </row>
    <row r="18" spans="1:14" x14ac:dyDescent="0.2">
      <c r="A18">
        <v>10622</v>
      </c>
      <c r="B18">
        <v>136.934</v>
      </c>
      <c r="C18">
        <v>292.17599999999999</v>
      </c>
      <c r="D18">
        <v>1573.95</v>
      </c>
      <c r="E18">
        <v>36406.199999999997</v>
      </c>
      <c r="F18">
        <v>189.34200000000001</v>
      </c>
      <c r="G18">
        <v>65.483699999999999</v>
      </c>
      <c r="H18">
        <v>29201.9</v>
      </c>
      <c r="I18">
        <v>86.716099999999997</v>
      </c>
      <c r="J18">
        <v>20.607199999999999</v>
      </c>
      <c r="L18">
        <f t="shared" si="0"/>
        <v>67973.308999999994</v>
      </c>
      <c r="M18">
        <f t="shared" si="1"/>
        <v>0.53559552323692228</v>
      </c>
      <c r="N18">
        <f t="shared" si="2"/>
        <v>0.42960833347100996</v>
      </c>
    </row>
    <row r="19" spans="1:14" x14ac:dyDescent="0.2">
      <c r="A19">
        <v>11225</v>
      </c>
      <c r="B19">
        <v>79.769900000000007</v>
      </c>
      <c r="C19">
        <v>249.86099999999999</v>
      </c>
      <c r="D19">
        <v>1486.48</v>
      </c>
      <c r="E19">
        <v>35836.699999999997</v>
      </c>
      <c r="F19">
        <v>136.86500000000001</v>
      </c>
      <c r="G19">
        <v>-75.883399999999995</v>
      </c>
      <c r="H19">
        <v>28741</v>
      </c>
      <c r="I19">
        <v>110.703</v>
      </c>
      <c r="J19">
        <v>38.781799999999997</v>
      </c>
      <c r="L19">
        <f t="shared" si="0"/>
        <v>66604.277299999987</v>
      </c>
      <c r="M19">
        <f t="shared" si="1"/>
        <v>0.5380540327550406</v>
      </c>
      <c r="N19">
        <f t="shared" si="2"/>
        <v>0.43151883280024728</v>
      </c>
    </row>
    <row r="20" spans="1:14" x14ac:dyDescent="0.2">
      <c r="A20">
        <v>11828</v>
      </c>
      <c r="B20">
        <v>134.21799999999999</v>
      </c>
      <c r="C20">
        <v>310.226</v>
      </c>
      <c r="D20">
        <v>1597.41</v>
      </c>
      <c r="E20">
        <v>36074.5</v>
      </c>
      <c r="F20">
        <v>164.71799999999999</v>
      </c>
      <c r="G20">
        <v>10.325100000000001</v>
      </c>
      <c r="H20">
        <v>28961.5</v>
      </c>
      <c r="I20">
        <v>151.048</v>
      </c>
      <c r="J20">
        <v>38.058300000000003</v>
      </c>
      <c r="L20">
        <f t="shared" si="0"/>
        <v>67442.003400000001</v>
      </c>
      <c r="M20">
        <f t="shared" si="1"/>
        <v>0.53489662497184953</v>
      </c>
      <c r="N20">
        <f t="shared" si="2"/>
        <v>0.42942822780973317</v>
      </c>
    </row>
    <row r="21" spans="1:14" x14ac:dyDescent="0.2">
      <c r="A21">
        <v>12431</v>
      </c>
      <c r="B21">
        <v>156.92099999999999</v>
      </c>
      <c r="C21">
        <v>320.20699999999999</v>
      </c>
      <c r="D21">
        <v>1630.8</v>
      </c>
      <c r="E21">
        <v>36044.699999999997</v>
      </c>
      <c r="F21">
        <v>185.03100000000001</v>
      </c>
      <c r="G21">
        <v>60.674199999999999</v>
      </c>
      <c r="H21">
        <v>29041.1</v>
      </c>
      <c r="I21">
        <v>156.679</v>
      </c>
      <c r="J21">
        <v>34.424300000000002</v>
      </c>
      <c r="L21">
        <f t="shared" si="0"/>
        <v>67630.536500000002</v>
      </c>
      <c r="M21">
        <f t="shared" si="1"/>
        <v>0.53296486861375103</v>
      </c>
      <c r="N21">
        <f t="shared" si="2"/>
        <v>0.42940809733189084</v>
      </c>
    </row>
    <row r="22" spans="1:14" x14ac:dyDescent="0.2">
      <c r="A22">
        <v>13033</v>
      </c>
      <c r="B22">
        <v>62.522399999999998</v>
      </c>
      <c r="C22">
        <v>322.66500000000002</v>
      </c>
      <c r="D22">
        <v>1661.95</v>
      </c>
      <c r="E22">
        <v>36157</v>
      </c>
      <c r="F22">
        <v>184.321</v>
      </c>
      <c r="G22">
        <v>29.8062</v>
      </c>
      <c r="H22">
        <v>28966.799999999999</v>
      </c>
      <c r="I22">
        <v>136.15600000000001</v>
      </c>
      <c r="J22">
        <v>32.194000000000003</v>
      </c>
      <c r="L22">
        <f t="shared" si="0"/>
        <v>67553.414600000004</v>
      </c>
      <c r="M22">
        <f t="shared" si="1"/>
        <v>0.53523571257047897</v>
      </c>
      <c r="N22">
        <f t="shared" si="2"/>
        <v>0.42879845780586195</v>
      </c>
    </row>
    <row r="23" spans="1:14" x14ac:dyDescent="0.2">
      <c r="A23">
        <v>13636</v>
      </c>
      <c r="B23">
        <v>180.78200000000001</v>
      </c>
      <c r="C23">
        <v>220.84899999999999</v>
      </c>
      <c r="D23">
        <v>1488.38</v>
      </c>
      <c r="E23">
        <v>35530.5</v>
      </c>
      <c r="F23">
        <v>147.56100000000001</v>
      </c>
      <c r="G23">
        <v>-94.911100000000005</v>
      </c>
      <c r="H23">
        <v>28593.3</v>
      </c>
      <c r="I23">
        <v>104.126</v>
      </c>
      <c r="J23">
        <v>7.2099399999999996</v>
      </c>
      <c r="L23">
        <f t="shared" si="0"/>
        <v>66177.79684000001</v>
      </c>
      <c r="M23">
        <f t="shared" si="1"/>
        <v>0.53689457335521651</v>
      </c>
      <c r="N23">
        <f t="shared" si="2"/>
        <v>0.43206787420153703</v>
      </c>
    </row>
    <row r="24" spans="1:14" x14ac:dyDescent="0.2">
      <c r="A24">
        <v>14239</v>
      </c>
      <c r="B24">
        <v>166.99600000000001</v>
      </c>
      <c r="C24">
        <v>283.40300000000002</v>
      </c>
      <c r="D24">
        <v>1633.6</v>
      </c>
      <c r="E24">
        <v>35845.199999999997</v>
      </c>
      <c r="F24">
        <v>180.10499999999999</v>
      </c>
      <c r="G24">
        <v>-9.0648599999999995</v>
      </c>
      <c r="H24">
        <v>28656.5</v>
      </c>
      <c r="I24">
        <v>140.05600000000001</v>
      </c>
      <c r="J24">
        <v>-8.5602400000000003</v>
      </c>
      <c r="L24">
        <f t="shared" si="0"/>
        <v>66888.234899999981</v>
      </c>
      <c r="M24">
        <f t="shared" si="1"/>
        <v>0.5358969339464511</v>
      </c>
      <c r="N24">
        <f t="shared" si="2"/>
        <v>0.42842362401762241</v>
      </c>
    </row>
    <row r="25" spans="1:14" x14ac:dyDescent="0.2">
      <c r="A25">
        <v>14842</v>
      </c>
      <c r="B25">
        <v>172.05799999999999</v>
      </c>
      <c r="C25">
        <v>293.84399999999999</v>
      </c>
      <c r="D25">
        <v>1769.63</v>
      </c>
      <c r="E25">
        <v>36254.699999999997</v>
      </c>
      <c r="F25">
        <v>266.44900000000001</v>
      </c>
      <c r="G25">
        <v>28.739799999999999</v>
      </c>
      <c r="H25">
        <v>28546</v>
      </c>
      <c r="I25">
        <v>102.568</v>
      </c>
      <c r="J25">
        <v>195.32</v>
      </c>
      <c r="L25">
        <f t="shared" si="0"/>
        <v>67629.308799999999</v>
      </c>
      <c r="M25">
        <f t="shared" si="1"/>
        <v>0.53607970631809854</v>
      </c>
      <c r="N25">
        <f t="shared" si="2"/>
        <v>0.42209510205729028</v>
      </c>
    </row>
    <row r="26" spans="1:14" x14ac:dyDescent="0.2">
      <c r="A26">
        <v>15444</v>
      </c>
      <c r="B26">
        <v>156.57400000000001</v>
      </c>
      <c r="C26">
        <v>315.25900000000001</v>
      </c>
      <c r="D26">
        <v>1680.25</v>
      </c>
      <c r="E26">
        <v>35773.9</v>
      </c>
      <c r="F26">
        <v>140.40600000000001</v>
      </c>
      <c r="G26">
        <v>-43.6858</v>
      </c>
      <c r="H26">
        <v>28299.200000000001</v>
      </c>
      <c r="I26">
        <v>11.4026</v>
      </c>
      <c r="J26">
        <v>-20.6845</v>
      </c>
      <c r="L26">
        <f t="shared" si="0"/>
        <v>66312.621299999999</v>
      </c>
      <c r="M26">
        <f t="shared" si="1"/>
        <v>0.53947347124400291</v>
      </c>
      <c r="N26">
        <f t="shared" si="2"/>
        <v>0.42675435603689521</v>
      </c>
    </row>
    <row r="27" spans="1:14" x14ac:dyDescent="0.2">
      <c r="A27">
        <v>16047</v>
      </c>
      <c r="B27">
        <v>175.26400000000001</v>
      </c>
      <c r="C27">
        <v>329.68</v>
      </c>
      <c r="D27">
        <v>1848.76</v>
      </c>
      <c r="E27">
        <v>35999.9</v>
      </c>
      <c r="F27">
        <v>197.61500000000001</v>
      </c>
      <c r="G27">
        <v>56.261899999999997</v>
      </c>
      <c r="H27">
        <v>28735.9</v>
      </c>
      <c r="I27">
        <v>110.922</v>
      </c>
      <c r="J27">
        <v>17.0443</v>
      </c>
      <c r="L27">
        <f t="shared" si="0"/>
        <v>67471.347199999989</v>
      </c>
      <c r="M27">
        <f t="shared" si="1"/>
        <v>0.533558339857782</v>
      </c>
      <c r="N27">
        <f t="shared" si="2"/>
        <v>0.42589782466949178</v>
      </c>
    </row>
    <row r="28" spans="1:14" x14ac:dyDescent="0.2">
      <c r="A28">
        <v>16650</v>
      </c>
      <c r="B28">
        <v>176.78100000000001</v>
      </c>
      <c r="C28">
        <v>341.26900000000001</v>
      </c>
      <c r="D28">
        <v>1893.74</v>
      </c>
      <c r="E28">
        <v>36027</v>
      </c>
      <c r="F28">
        <v>189.58699999999999</v>
      </c>
      <c r="G28">
        <v>56.271000000000001</v>
      </c>
      <c r="H28">
        <v>28640.6</v>
      </c>
      <c r="I28">
        <v>37.8506</v>
      </c>
      <c r="J28">
        <v>5.7810100000000002</v>
      </c>
      <c r="L28">
        <f t="shared" si="0"/>
        <v>67368.879610000004</v>
      </c>
      <c r="M28">
        <f t="shared" si="1"/>
        <v>0.53477214121061734</v>
      </c>
      <c r="N28">
        <f t="shared" si="2"/>
        <v>0.42513101250608726</v>
      </c>
    </row>
    <row r="29" spans="1:14" x14ac:dyDescent="0.2">
      <c r="A29">
        <v>17253</v>
      </c>
      <c r="B29">
        <v>171.893</v>
      </c>
      <c r="C29">
        <v>391.69600000000003</v>
      </c>
      <c r="D29">
        <v>1994.91</v>
      </c>
      <c r="E29">
        <v>36246.800000000003</v>
      </c>
      <c r="F29">
        <v>216.01300000000001</v>
      </c>
      <c r="G29">
        <v>134.54</v>
      </c>
      <c r="H29">
        <v>28778.3</v>
      </c>
      <c r="I29">
        <v>123.645</v>
      </c>
      <c r="J29">
        <v>32.361699999999999</v>
      </c>
      <c r="L29">
        <f t="shared" si="0"/>
        <v>68090.1587</v>
      </c>
      <c r="M29">
        <f t="shared" si="1"/>
        <v>0.53233537257124941</v>
      </c>
      <c r="N29">
        <f t="shared" si="2"/>
        <v>0.42264991812979869</v>
      </c>
    </row>
    <row r="30" spans="1:14" x14ac:dyDescent="0.2">
      <c r="A30">
        <v>17856</v>
      </c>
      <c r="B30">
        <v>135.76400000000001</v>
      </c>
      <c r="C30">
        <v>328.48399999999998</v>
      </c>
      <c r="D30">
        <v>1967.56</v>
      </c>
      <c r="E30">
        <v>36181.300000000003</v>
      </c>
      <c r="F30">
        <v>166.941</v>
      </c>
      <c r="G30">
        <v>-67.560400000000001</v>
      </c>
      <c r="H30">
        <v>28449.1</v>
      </c>
      <c r="I30">
        <v>9.3049599999999995</v>
      </c>
      <c r="J30">
        <v>-13.0572</v>
      </c>
      <c r="L30">
        <f t="shared" si="0"/>
        <v>67157.836359999987</v>
      </c>
      <c r="M30">
        <f t="shared" si="1"/>
        <v>0.5387502331976558</v>
      </c>
      <c r="N30">
        <f t="shared" si="2"/>
        <v>0.42361549361862144</v>
      </c>
    </row>
    <row r="31" spans="1:14" x14ac:dyDescent="0.2">
      <c r="A31">
        <v>18458</v>
      </c>
      <c r="B31">
        <v>176.834</v>
      </c>
      <c r="C31">
        <v>375.21100000000001</v>
      </c>
      <c r="D31">
        <v>2057.37</v>
      </c>
      <c r="E31">
        <v>36288.300000000003</v>
      </c>
      <c r="F31">
        <v>200.23</v>
      </c>
      <c r="G31">
        <v>71.860299999999995</v>
      </c>
      <c r="H31">
        <v>28837.599999999999</v>
      </c>
      <c r="I31">
        <v>40.588799999999999</v>
      </c>
      <c r="J31">
        <v>17.6111</v>
      </c>
      <c r="L31">
        <f t="shared" si="0"/>
        <v>68065.605200000005</v>
      </c>
      <c r="M31">
        <f t="shared" si="1"/>
        <v>0.53313710931347158</v>
      </c>
      <c r="N31">
        <f t="shared" si="2"/>
        <v>0.42367360012836552</v>
      </c>
    </row>
    <row r="32" spans="1:14" x14ac:dyDescent="0.2">
      <c r="A32">
        <v>19061</v>
      </c>
      <c r="B32">
        <v>171.989</v>
      </c>
      <c r="C32">
        <v>359.34800000000001</v>
      </c>
      <c r="D32">
        <v>1976.46</v>
      </c>
      <c r="E32">
        <v>36089.699999999997</v>
      </c>
      <c r="F32">
        <v>188.81299999999999</v>
      </c>
      <c r="G32">
        <v>39.733800000000002</v>
      </c>
      <c r="H32">
        <v>28540.400000000001</v>
      </c>
      <c r="I32">
        <v>110.524</v>
      </c>
      <c r="J32">
        <v>11.3565</v>
      </c>
      <c r="L32">
        <f t="shared" si="0"/>
        <v>67488.324300000007</v>
      </c>
      <c r="M32">
        <f t="shared" si="1"/>
        <v>0.53475472052874773</v>
      </c>
      <c r="N32">
        <f t="shared" si="2"/>
        <v>0.42289389010655876</v>
      </c>
    </row>
    <row r="33" spans="1:14" x14ac:dyDescent="0.2">
      <c r="A33">
        <v>19664</v>
      </c>
      <c r="B33">
        <v>165.43899999999999</v>
      </c>
      <c r="C33">
        <v>377.64400000000001</v>
      </c>
      <c r="D33">
        <v>2017.67</v>
      </c>
      <c r="E33">
        <v>36154.5</v>
      </c>
      <c r="F33">
        <v>228.27600000000001</v>
      </c>
      <c r="G33">
        <v>101.542</v>
      </c>
      <c r="H33">
        <v>28654.5</v>
      </c>
      <c r="I33">
        <v>5.9188599999999996</v>
      </c>
      <c r="J33">
        <v>15.498699999999999</v>
      </c>
      <c r="L33">
        <f t="shared" si="0"/>
        <v>67720.988559999998</v>
      </c>
      <c r="M33">
        <f t="shared" si="1"/>
        <v>0.53387436847540315</v>
      </c>
      <c r="N33">
        <f t="shared" si="2"/>
        <v>0.4231258374885129</v>
      </c>
    </row>
    <row r="34" spans="1:14" x14ac:dyDescent="0.2">
      <c r="A34">
        <v>20267</v>
      </c>
      <c r="B34">
        <v>121.123</v>
      </c>
      <c r="C34">
        <v>392.40100000000001</v>
      </c>
      <c r="D34">
        <v>2156.38</v>
      </c>
      <c r="E34">
        <v>36324.9</v>
      </c>
      <c r="F34">
        <v>225.178</v>
      </c>
      <c r="G34">
        <v>178.62100000000001</v>
      </c>
      <c r="H34">
        <v>28764.9</v>
      </c>
      <c r="I34">
        <v>56.051400000000001</v>
      </c>
      <c r="J34">
        <v>7.2774400000000004</v>
      </c>
      <c r="L34">
        <f t="shared" si="0"/>
        <v>68226.831839999999</v>
      </c>
      <c r="M34">
        <f t="shared" si="1"/>
        <v>0.53241370030468649</v>
      </c>
      <c r="N34">
        <f t="shared" si="2"/>
        <v>0.42160685501940204</v>
      </c>
    </row>
    <row r="35" spans="1:14" x14ac:dyDescent="0.2">
      <c r="A35">
        <v>20869</v>
      </c>
      <c r="B35">
        <v>177.839</v>
      </c>
      <c r="C35">
        <v>366.22399999999999</v>
      </c>
      <c r="D35">
        <v>2015.63</v>
      </c>
      <c r="E35">
        <v>36048.199999999997</v>
      </c>
      <c r="F35">
        <v>173.52099999999999</v>
      </c>
      <c r="G35">
        <v>26.620899999999999</v>
      </c>
      <c r="H35">
        <v>28432.6</v>
      </c>
      <c r="I35">
        <v>44.271500000000003</v>
      </c>
      <c r="J35">
        <v>22.6006</v>
      </c>
      <c r="L35">
        <f t="shared" si="0"/>
        <v>67307.507000000012</v>
      </c>
      <c r="M35">
        <f t="shared" si="1"/>
        <v>0.53557473165660396</v>
      </c>
      <c r="N35">
        <f t="shared" si="2"/>
        <v>0.42242836300563019</v>
      </c>
    </row>
    <row r="36" spans="1:14" x14ac:dyDescent="0.2">
      <c r="A36">
        <v>21472</v>
      </c>
      <c r="B36">
        <v>169.90299999999999</v>
      </c>
      <c r="C36">
        <v>381.46199999999999</v>
      </c>
      <c r="D36">
        <v>1979.6</v>
      </c>
      <c r="E36">
        <v>36124.199999999997</v>
      </c>
      <c r="F36">
        <v>188.458</v>
      </c>
      <c r="G36">
        <v>28.977499999999999</v>
      </c>
      <c r="H36">
        <v>28508.1</v>
      </c>
      <c r="I36">
        <v>112.093</v>
      </c>
      <c r="J36">
        <v>14.048500000000001</v>
      </c>
      <c r="L36">
        <f t="shared" si="0"/>
        <v>67506.84199999999</v>
      </c>
      <c r="M36">
        <f t="shared" si="1"/>
        <v>0.53511909207662245</v>
      </c>
      <c r="N36">
        <f t="shared" si="2"/>
        <v>0.42229941670208782</v>
      </c>
    </row>
    <row r="37" spans="1:14" x14ac:dyDescent="0.2">
      <c r="A37">
        <v>22075</v>
      </c>
      <c r="B37">
        <v>157.72999999999999</v>
      </c>
      <c r="C37">
        <v>444.13600000000002</v>
      </c>
      <c r="D37">
        <v>2237.6</v>
      </c>
      <c r="E37">
        <v>36513.300000000003</v>
      </c>
      <c r="F37">
        <v>232.98099999999999</v>
      </c>
      <c r="G37">
        <v>173.33600000000001</v>
      </c>
      <c r="H37">
        <v>28745.5</v>
      </c>
      <c r="I37">
        <v>60.664700000000003</v>
      </c>
      <c r="J37">
        <v>5.1187699999999996</v>
      </c>
      <c r="L37">
        <f t="shared" si="0"/>
        <v>68570.366470000008</v>
      </c>
      <c r="M37">
        <f t="shared" si="1"/>
        <v>0.53249387278650195</v>
      </c>
      <c r="N37">
        <f t="shared" si="2"/>
        <v>0.41921170149464415</v>
      </c>
    </row>
    <row r="38" spans="1:14" x14ac:dyDescent="0.2">
      <c r="A38">
        <v>22678</v>
      </c>
      <c r="B38">
        <v>140.63800000000001</v>
      </c>
      <c r="C38">
        <v>446.964</v>
      </c>
      <c r="D38">
        <v>2312.48</v>
      </c>
      <c r="E38">
        <v>36997.1</v>
      </c>
      <c r="F38">
        <v>342.363</v>
      </c>
      <c r="G38">
        <v>336.20299999999997</v>
      </c>
      <c r="H38">
        <v>29161.8</v>
      </c>
      <c r="I38">
        <v>41.912100000000002</v>
      </c>
      <c r="J38">
        <v>179.262</v>
      </c>
      <c r="L38">
        <f t="shared" si="0"/>
        <v>69958.722099999999</v>
      </c>
      <c r="M38">
        <f t="shared" si="1"/>
        <v>0.52884184972841286</v>
      </c>
      <c r="N38">
        <f t="shared" si="2"/>
        <v>0.41684294859353926</v>
      </c>
    </row>
    <row r="39" spans="1:14" x14ac:dyDescent="0.2">
      <c r="A39">
        <v>23281</v>
      </c>
      <c r="B39">
        <v>199.71</v>
      </c>
      <c r="C39">
        <v>325.55099999999999</v>
      </c>
      <c r="D39">
        <v>1966.25</v>
      </c>
      <c r="E39">
        <v>36212.9</v>
      </c>
      <c r="F39">
        <v>248.316</v>
      </c>
      <c r="G39">
        <v>-25.429300000000001</v>
      </c>
      <c r="H39">
        <v>28332.1</v>
      </c>
      <c r="I39">
        <v>51.520200000000003</v>
      </c>
      <c r="J39">
        <v>175.88</v>
      </c>
      <c r="L39">
        <f t="shared" si="0"/>
        <v>67486.797900000005</v>
      </c>
      <c r="M39">
        <f t="shared" si="1"/>
        <v>0.53659235771801228</v>
      </c>
      <c r="N39">
        <f t="shared" si="2"/>
        <v>0.41981692540786553</v>
      </c>
    </row>
    <row r="40" spans="1:14" x14ac:dyDescent="0.2">
      <c r="A40">
        <v>23883</v>
      </c>
      <c r="B40">
        <v>134.02699999999999</v>
      </c>
      <c r="C40">
        <v>385.80200000000002</v>
      </c>
      <c r="D40">
        <v>2091.0100000000002</v>
      </c>
      <c r="E40">
        <v>36189.4</v>
      </c>
      <c r="F40">
        <v>224.01300000000001</v>
      </c>
      <c r="G40">
        <v>90.905299999999997</v>
      </c>
      <c r="H40">
        <v>28599</v>
      </c>
      <c r="I40">
        <v>142.126</v>
      </c>
      <c r="J40">
        <v>25.436599999999999</v>
      </c>
      <c r="L40">
        <f t="shared" si="0"/>
        <v>67881.719899999996</v>
      </c>
      <c r="M40">
        <f t="shared" si="1"/>
        <v>0.53312438243038685</v>
      </c>
      <c r="N40">
        <f t="shared" si="2"/>
        <v>0.42130635526222138</v>
      </c>
    </row>
    <row r="41" spans="1:14" x14ac:dyDescent="0.2">
      <c r="A41">
        <v>24486</v>
      </c>
      <c r="B41">
        <v>153.26300000000001</v>
      </c>
      <c r="C41">
        <v>417.16399999999999</v>
      </c>
      <c r="D41">
        <v>2283.19</v>
      </c>
      <c r="E41">
        <v>36588.300000000003</v>
      </c>
      <c r="F41">
        <v>210.244</v>
      </c>
      <c r="G41">
        <v>202.821</v>
      </c>
      <c r="H41">
        <v>28763.8</v>
      </c>
      <c r="I41">
        <v>138.46100000000001</v>
      </c>
      <c r="J41">
        <v>8.0009700000000006</v>
      </c>
      <c r="L41">
        <f t="shared" si="0"/>
        <v>68765.243969999996</v>
      </c>
      <c r="M41">
        <f t="shared" si="1"/>
        <v>0.53207547719836878</v>
      </c>
      <c r="N41">
        <f t="shared" si="2"/>
        <v>0.41828979785992898</v>
      </c>
    </row>
    <row r="42" spans="1:14" x14ac:dyDescent="0.2">
      <c r="A42">
        <v>25089</v>
      </c>
      <c r="B42">
        <v>171.208</v>
      </c>
      <c r="C42">
        <v>359.66500000000002</v>
      </c>
      <c r="D42">
        <v>2089.29</v>
      </c>
      <c r="E42">
        <v>36245.1</v>
      </c>
      <c r="F42">
        <v>223.27699999999999</v>
      </c>
      <c r="G42">
        <v>50.609099999999998</v>
      </c>
      <c r="H42">
        <v>28547.599999999999</v>
      </c>
      <c r="I42">
        <v>86.976699999999994</v>
      </c>
      <c r="J42">
        <v>19.515999999999998</v>
      </c>
      <c r="L42">
        <f t="shared" si="0"/>
        <v>67793.241800000003</v>
      </c>
      <c r="M42">
        <f t="shared" si="1"/>
        <v>0.53464178784853444</v>
      </c>
      <c r="N42">
        <f t="shared" si="2"/>
        <v>0.42109802160250137</v>
      </c>
    </row>
    <row r="43" spans="1:14" x14ac:dyDescent="0.2">
      <c r="A43">
        <v>25692</v>
      </c>
      <c r="B43">
        <v>194.078</v>
      </c>
      <c r="C43">
        <v>369.91199999999998</v>
      </c>
      <c r="D43">
        <v>2099.64</v>
      </c>
      <c r="E43">
        <v>36224</v>
      </c>
      <c r="F43">
        <v>213.94200000000001</v>
      </c>
      <c r="G43">
        <v>56.050199999999997</v>
      </c>
      <c r="H43">
        <v>28545.9</v>
      </c>
      <c r="I43">
        <v>119.908</v>
      </c>
      <c r="J43">
        <v>9.5358199999999993</v>
      </c>
      <c r="L43">
        <f t="shared" si="0"/>
        <v>67832.966020000007</v>
      </c>
      <c r="M43">
        <f t="shared" si="1"/>
        <v>0.53401763368742627</v>
      </c>
      <c r="N43">
        <f t="shared" si="2"/>
        <v>0.42082635737295448</v>
      </c>
    </row>
    <row r="44" spans="1:14" x14ac:dyDescent="0.2">
      <c r="A44">
        <v>26295</v>
      </c>
      <c r="B44">
        <v>187.696</v>
      </c>
      <c r="C44">
        <v>314.83499999999998</v>
      </c>
      <c r="D44">
        <v>2028.66</v>
      </c>
      <c r="E44">
        <v>35966.5</v>
      </c>
      <c r="F44">
        <v>185.494</v>
      </c>
      <c r="G44">
        <v>-43.267099999999999</v>
      </c>
      <c r="H44">
        <v>28419.8</v>
      </c>
      <c r="I44">
        <v>107.075</v>
      </c>
      <c r="J44">
        <v>16.874600000000001</v>
      </c>
      <c r="L44">
        <f t="shared" si="0"/>
        <v>67183.667499999996</v>
      </c>
      <c r="M44">
        <f t="shared" si="1"/>
        <v>0.53534588596253696</v>
      </c>
      <c r="N44">
        <f t="shared" si="2"/>
        <v>0.42301650174129002</v>
      </c>
    </row>
    <row r="45" spans="1:14" x14ac:dyDescent="0.2">
      <c r="A45">
        <v>26897</v>
      </c>
      <c r="B45">
        <v>173.858</v>
      </c>
      <c r="C45">
        <v>317.59399999999999</v>
      </c>
      <c r="D45">
        <v>2023.83</v>
      </c>
      <c r="E45">
        <v>36007.9</v>
      </c>
      <c r="F45">
        <v>210.911</v>
      </c>
      <c r="G45">
        <v>-35.736899999999999</v>
      </c>
      <c r="H45">
        <v>28435.200000000001</v>
      </c>
      <c r="I45">
        <v>97.551100000000005</v>
      </c>
      <c r="J45">
        <v>2.7114500000000001</v>
      </c>
      <c r="L45">
        <f t="shared" si="0"/>
        <v>67233.818650000001</v>
      </c>
      <c r="M45">
        <f t="shared" si="1"/>
        <v>0.53556232150737726</v>
      </c>
      <c r="N45">
        <f t="shared" si="2"/>
        <v>0.42293001603888525</v>
      </c>
    </row>
    <row r="46" spans="1:14" x14ac:dyDescent="0.2">
      <c r="A46">
        <v>27500</v>
      </c>
      <c r="B46">
        <v>221.274</v>
      </c>
      <c r="C46">
        <v>329.858</v>
      </c>
      <c r="D46">
        <v>2048.15</v>
      </c>
      <c r="E46">
        <v>36108.800000000003</v>
      </c>
      <c r="F46">
        <v>173.35400000000001</v>
      </c>
      <c r="G46">
        <v>-65.028800000000004</v>
      </c>
      <c r="H46">
        <v>28292.400000000001</v>
      </c>
      <c r="I46">
        <v>105.24</v>
      </c>
      <c r="J46">
        <v>-4.6313199999999997</v>
      </c>
      <c r="L46">
        <f t="shared" si="0"/>
        <v>67209.415880000015</v>
      </c>
      <c r="M46">
        <f t="shared" si="1"/>
        <v>0.53725805420584161</v>
      </c>
      <c r="N46">
        <f t="shared" si="2"/>
        <v>0.42095887353812239</v>
      </c>
    </row>
    <row r="47" spans="1:14" x14ac:dyDescent="0.2">
      <c r="A47">
        <v>28103</v>
      </c>
      <c r="B47">
        <v>210.14400000000001</v>
      </c>
      <c r="C47">
        <v>306.31400000000002</v>
      </c>
      <c r="D47">
        <v>2026.03</v>
      </c>
      <c r="E47">
        <v>36073.699999999997</v>
      </c>
      <c r="F47">
        <v>196.65700000000001</v>
      </c>
      <c r="G47">
        <v>-29.7623</v>
      </c>
      <c r="H47">
        <v>28437.200000000001</v>
      </c>
      <c r="I47">
        <v>21.192799999999998</v>
      </c>
      <c r="J47">
        <v>10.9123</v>
      </c>
      <c r="L47">
        <f t="shared" si="0"/>
        <v>67252.387799999997</v>
      </c>
      <c r="M47">
        <f t="shared" si="1"/>
        <v>0.53639285057474195</v>
      </c>
      <c r="N47">
        <f t="shared" si="2"/>
        <v>0.42284297896706058</v>
      </c>
    </row>
    <row r="48" spans="1:14" x14ac:dyDescent="0.2">
      <c r="A48">
        <v>28706</v>
      </c>
      <c r="B48">
        <v>208.56800000000001</v>
      </c>
      <c r="C48">
        <v>341.49299999999999</v>
      </c>
      <c r="D48">
        <v>2114.48</v>
      </c>
      <c r="E48">
        <v>36356</v>
      </c>
      <c r="F48">
        <v>189.1</v>
      </c>
      <c r="G48">
        <v>-51.207000000000001</v>
      </c>
      <c r="H48">
        <v>28330.1</v>
      </c>
      <c r="I48">
        <v>64.429599999999994</v>
      </c>
      <c r="J48">
        <v>30.8628</v>
      </c>
      <c r="L48">
        <f t="shared" si="0"/>
        <v>67583.826399999991</v>
      </c>
      <c r="M48">
        <f t="shared" si="1"/>
        <v>0.5379393552656262</v>
      </c>
      <c r="N48">
        <f t="shared" si="2"/>
        <v>0.41918461130516876</v>
      </c>
    </row>
    <row r="49" spans="1:14" x14ac:dyDescent="0.2">
      <c r="A49">
        <v>29308</v>
      </c>
      <c r="B49">
        <v>199.26599999999999</v>
      </c>
      <c r="C49">
        <v>371.00900000000001</v>
      </c>
      <c r="D49">
        <v>2203.44</v>
      </c>
      <c r="E49">
        <v>36610.699999999997</v>
      </c>
      <c r="F49">
        <v>225.94800000000001</v>
      </c>
      <c r="G49">
        <v>142.589</v>
      </c>
      <c r="H49">
        <v>28815.5</v>
      </c>
      <c r="I49">
        <v>34.7378</v>
      </c>
      <c r="J49">
        <v>14.489599999999999</v>
      </c>
      <c r="L49">
        <f t="shared" si="0"/>
        <v>68617.679399999994</v>
      </c>
      <c r="M49">
        <f t="shared" si="1"/>
        <v>0.53354616944390576</v>
      </c>
      <c r="N49">
        <f t="shared" si="2"/>
        <v>0.41994279392666262</v>
      </c>
    </row>
    <row r="50" spans="1:14" x14ac:dyDescent="0.2">
      <c r="A50">
        <v>29911</v>
      </c>
      <c r="B50">
        <v>188.76400000000001</v>
      </c>
      <c r="C50">
        <v>383.24099999999999</v>
      </c>
      <c r="D50">
        <v>2210.86</v>
      </c>
      <c r="E50">
        <v>36748.300000000003</v>
      </c>
      <c r="F50">
        <v>244.26400000000001</v>
      </c>
      <c r="G50">
        <v>136.64699999999999</v>
      </c>
      <c r="H50">
        <v>28918.7</v>
      </c>
      <c r="I50">
        <v>147.05699999999999</v>
      </c>
      <c r="J50">
        <v>11.9918</v>
      </c>
      <c r="L50">
        <f t="shared" si="0"/>
        <v>68989.824800000002</v>
      </c>
      <c r="M50">
        <f t="shared" si="1"/>
        <v>0.53266260795026688</v>
      </c>
      <c r="N50">
        <f t="shared" si="2"/>
        <v>0.41917340830817706</v>
      </c>
    </row>
    <row r="51" spans="1:14" x14ac:dyDescent="0.2">
      <c r="A51">
        <v>30514</v>
      </c>
      <c r="B51">
        <v>209.18</v>
      </c>
      <c r="C51">
        <v>350.36399999999998</v>
      </c>
      <c r="D51">
        <v>2154.4899999999998</v>
      </c>
      <c r="E51">
        <v>36562.699999999997</v>
      </c>
      <c r="F51">
        <v>242.11</v>
      </c>
      <c r="G51">
        <v>64.599500000000006</v>
      </c>
      <c r="H51">
        <v>28802.6</v>
      </c>
      <c r="I51">
        <v>12.402100000000001</v>
      </c>
      <c r="J51">
        <v>14.869</v>
      </c>
      <c r="L51">
        <f t="shared" si="0"/>
        <v>68413.314600000012</v>
      </c>
      <c r="M51">
        <f t="shared" si="1"/>
        <v>0.53443836501381836</v>
      </c>
      <c r="N51">
        <f t="shared" si="2"/>
        <v>0.42100869060947377</v>
      </c>
    </row>
    <row r="52" spans="1:14" x14ac:dyDescent="0.2">
      <c r="A52">
        <v>31117</v>
      </c>
      <c r="B52">
        <v>208.75</v>
      </c>
      <c r="C52">
        <v>380.43700000000001</v>
      </c>
      <c r="D52">
        <v>2186.8000000000002</v>
      </c>
      <c r="E52">
        <v>36500.400000000001</v>
      </c>
      <c r="F52">
        <v>226.828</v>
      </c>
      <c r="G52">
        <v>96.315399999999997</v>
      </c>
      <c r="H52">
        <v>28938.3</v>
      </c>
      <c r="I52">
        <v>127.684</v>
      </c>
      <c r="J52">
        <v>27.860399999999998</v>
      </c>
      <c r="L52">
        <f t="shared" si="0"/>
        <v>68693.374800000005</v>
      </c>
      <c r="M52">
        <f t="shared" si="1"/>
        <v>0.53135255192033448</v>
      </c>
      <c r="N52">
        <f t="shared" si="2"/>
        <v>0.42126769989469198</v>
      </c>
    </row>
    <row r="53" spans="1:14" x14ac:dyDescent="0.2">
      <c r="A53">
        <v>31720</v>
      </c>
      <c r="B53">
        <v>221.45699999999999</v>
      </c>
      <c r="C53">
        <v>408.39100000000002</v>
      </c>
      <c r="D53">
        <v>2328.21</v>
      </c>
      <c r="E53">
        <v>37247.800000000003</v>
      </c>
      <c r="F53">
        <v>348.029</v>
      </c>
      <c r="G53">
        <v>255.19200000000001</v>
      </c>
      <c r="H53">
        <v>29108.1</v>
      </c>
      <c r="I53">
        <v>131.36699999999999</v>
      </c>
      <c r="J53">
        <v>249.637</v>
      </c>
      <c r="L53">
        <f t="shared" si="0"/>
        <v>70298.183000000005</v>
      </c>
      <c r="M53">
        <f t="shared" si="1"/>
        <v>0.52985437760176535</v>
      </c>
      <c r="N53">
        <f t="shared" si="2"/>
        <v>0.41406617863793144</v>
      </c>
    </row>
    <row r="54" spans="1:14" x14ac:dyDescent="0.2">
      <c r="A54">
        <v>32322</v>
      </c>
      <c r="B54">
        <v>212.566</v>
      </c>
      <c r="C54">
        <v>373.47500000000002</v>
      </c>
      <c r="D54">
        <v>2182.4699999999998</v>
      </c>
      <c r="E54">
        <v>36500.800000000003</v>
      </c>
      <c r="F54">
        <v>227.73699999999999</v>
      </c>
      <c r="G54">
        <v>96.994</v>
      </c>
      <c r="H54">
        <v>28748.2</v>
      </c>
      <c r="I54">
        <v>88.125</v>
      </c>
      <c r="J54">
        <v>12.6953</v>
      </c>
      <c r="L54">
        <f t="shared" si="0"/>
        <v>68443.062300000005</v>
      </c>
      <c r="M54">
        <f t="shared" si="1"/>
        <v>0.53330167840838993</v>
      </c>
      <c r="N54">
        <f t="shared" si="2"/>
        <v>0.42003088456198429</v>
      </c>
    </row>
    <row r="55" spans="1:14" x14ac:dyDescent="0.2">
      <c r="A55">
        <v>32925</v>
      </c>
      <c r="B55">
        <v>211.49600000000001</v>
      </c>
      <c r="C55">
        <v>301.24799999999999</v>
      </c>
      <c r="D55">
        <v>2022.53</v>
      </c>
      <c r="E55">
        <v>36135.199999999997</v>
      </c>
      <c r="F55">
        <v>189.96199999999999</v>
      </c>
      <c r="G55">
        <v>-48.681899999999999</v>
      </c>
      <c r="H55">
        <v>28624.5</v>
      </c>
      <c r="I55">
        <v>76.862700000000004</v>
      </c>
      <c r="J55">
        <v>9.7850300000000008</v>
      </c>
      <c r="L55">
        <f t="shared" si="0"/>
        <v>67522.901829999988</v>
      </c>
      <c r="M55">
        <f t="shared" si="1"/>
        <v>0.53515472559186372</v>
      </c>
      <c r="N55">
        <f t="shared" si="2"/>
        <v>0.42392283542651776</v>
      </c>
    </row>
    <row r="56" spans="1:14" x14ac:dyDescent="0.2">
      <c r="A56">
        <v>33528</v>
      </c>
      <c r="B56">
        <v>182.74100000000001</v>
      </c>
      <c r="C56">
        <v>407.62799999999999</v>
      </c>
      <c r="D56">
        <v>2280.44</v>
      </c>
      <c r="E56">
        <v>36704.6</v>
      </c>
      <c r="F56">
        <v>181.636</v>
      </c>
      <c r="G56">
        <v>-43.939100000000003</v>
      </c>
      <c r="H56">
        <v>28572.3</v>
      </c>
      <c r="I56">
        <v>169.68199999999999</v>
      </c>
      <c r="J56">
        <v>-12.4655</v>
      </c>
      <c r="L56">
        <f t="shared" si="0"/>
        <v>68442.622399999993</v>
      </c>
      <c r="M56">
        <f t="shared" si="1"/>
        <v>0.53628278275906627</v>
      </c>
      <c r="N56">
        <f t="shared" si="2"/>
        <v>0.4174635482698863</v>
      </c>
    </row>
    <row r="57" spans="1:14" x14ac:dyDescent="0.2">
      <c r="A57">
        <v>34131</v>
      </c>
      <c r="B57">
        <v>204.28100000000001</v>
      </c>
      <c r="C57">
        <v>440.8</v>
      </c>
      <c r="D57">
        <v>2381.4899999999998</v>
      </c>
      <c r="E57">
        <v>36906.1</v>
      </c>
      <c r="F57">
        <v>245.751</v>
      </c>
      <c r="G57">
        <v>269.29500000000002</v>
      </c>
      <c r="H57">
        <v>29070.799999999999</v>
      </c>
      <c r="I57">
        <v>113.08799999999999</v>
      </c>
      <c r="J57">
        <v>34.369100000000003</v>
      </c>
      <c r="L57">
        <f t="shared" si="0"/>
        <v>69665.974099999992</v>
      </c>
      <c r="M57">
        <f t="shared" si="1"/>
        <v>0.52975789798078776</v>
      </c>
      <c r="N57">
        <f t="shared" si="2"/>
        <v>0.41728835885178561</v>
      </c>
    </row>
    <row r="58" spans="1:14" x14ac:dyDescent="0.2">
      <c r="A58">
        <v>34733</v>
      </c>
      <c r="B58">
        <v>173.43700000000001</v>
      </c>
      <c r="C58">
        <v>387.55599999999998</v>
      </c>
      <c r="D58">
        <v>2138.25</v>
      </c>
      <c r="E58">
        <v>36398.199999999997</v>
      </c>
      <c r="F58">
        <v>202.52199999999999</v>
      </c>
      <c r="G58">
        <v>64.356899999999996</v>
      </c>
      <c r="H58">
        <v>28713.8</v>
      </c>
      <c r="I58">
        <v>19.622900000000001</v>
      </c>
      <c r="J58">
        <v>12.002000000000001</v>
      </c>
      <c r="L58">
        <f t="shared" si="0"/>
        <v>68109.746799999994</v>
      </c>
      <c r="M58">
        <f t="shared" si="1"/>
        <v>0.53440515800008814</v>
      </c>
      <c r="N58">
        <f t="shared" si="2"/>
        <v>0.4215813646219575</v>
      </c>
    </row>
    <row r="59" spans="1:14" x14ac:dyDescent="0.2">
      <c r="A59">
        <v>35336</v>
      </c>
      <c r="B59">
        <v>201.18</v>
      </c>
      <c r="C59">
        <v>381.35</v>
      </c>
      <c r="D59">
        <v>2135.38</v>
      </c>
      <c r="E59">
        <v>36388.5</v>
      </c>
      <c r="F59">
        <v>204.86799999999999</v>
      </c>
      <c r="G59">
        <v>65.385000000000005</v>
      </c>
      <c r="H59">
        <v>28607.599999999999</v>
      </c>
      <c r="I59">
        <v>99.4876</v>
      </c>
      <c r="J59">
        <v>18.641300000000001</v>
      </c>
      <c r="L59">
        <f t="shared" si="0"/>
        <v>68102.391900000002</v>
      </c>
      <c r="M59">
        <f t="shared" si="1"/>
        <v>0.53432043992569367</v>
      </c>
      <c r="N59">
        <f t="shared" si="2"/>
        <v>0.4200674778355325</v>
      </c>
    </row>
    <row r="60" spans="1:14" x14ac:dyDescent="0.2">
      <c r="A60">
        <v>35939</v>
      </c>
      <c r="B60">
        <v>185.947</v>
      </c>
      <c r="C60">
        <v>405.125</v>
      </c>
      <c r="D60">
        <v>2319.31</v>
      </c>
      <c r="E60">
        <v>36763</v>
      </c>
      <c r="F60">
        <v>211.114</v>
      </c>
      <c r="G60">
        <v>194.953</v>
      </c>
      <c r="H60">
        <v>28895.1</v>
      </c>
      <c r="I60">
        <v>17.701599999999999</v>
      </c>
      <c r="J60">
        <v>29.041399999999999</v>
      </c>
      <c r="L60">
        <f t="shared" si="0"/>
        <v>69021.292000000001</v>
      </c>
      <c r="M60">
        <f t="shared" si="1"/>
        <v>0.53263274179219944</v>
      </c>
      <c r="N60">
        <f t="shared" si="2"/>
        <v>0.41864038128987791</v>
      </c>
    </row>
    <row r="61" spans="1:14" x14ac:dyDescent="0.2">
      <c r="A61">
        <v>36542</v>
      </c>
      <c r="B61">
        <v>194.26</v>
      </c>
      <c r="C61">
        <v>329.72199999999998</v>
      </c>
      <c r="D61">
        <v>2109.29</v>
      </c>
      <c r="E61">
        <v>36422.9</v>
      </c>
      <c r="F61">
        <v>186.465</v>
      </c>
      <c r="G61">
        <v>47.071199999999997</v>
      </c>
      <c r="H61">
        <v>28697.7</v>
      </c>
      <c r="I61">
        <v>108.90600000000001</v>
      </c>
      <c r="J61">
        <v>9.8837399999999995</v>
      </c>
      <c r="L61">
        <f t="shared" si="0"/>
        <v>68106.197939999998</v>
      </c>
      <c r="M61">
        <f t="shared" si="1"/>
        <v>0.53479567354630109</v>
      </c>
      <c r="N61">
        <f t="shared" si="2"/>
        <v>0.42136693675489001</v>
      </c>
    </row>
    <row r="63" spans="1:14" x14ac:dyDescent="0.2">
      <c r="A63" t="s">
        <v>0</v>
      </c>
      <c r="B63" t="s">
        <v>10</v>
      </c>
      <c r="C63" t="s">
        <v>11</v>
      </c>
      <c r="D63" t="s">
        <v>12</v>
      </c>
      <c r="E63" t="s">
        <v>13</v>
      </c>
      <c r="F63" t="s">
        <v>14</v>
      </c>
      <c r="M63" t="s">
        <v>96</v>
      </c>
    </row>
    <row r="64" spans="1:14" x14ac:dyDescent="0.2">
      <c r="A64">
        <v>978</v>
      </c>
      <c r="B64">
        <v>3026.99</v>
      </c>
      <c r="C64">
        <v>44.120699999999999</v>
      </c>
      <c r="D64">
        <v>53.344999999999999</v>
      </c>
      <c r="E64">
        <v>40030.9</v>
      </c>
      <c r="F64">
        <v>61.566200000000002</v>
      </c>
      <c r="L64">
        <f t="shared" si="0"/>
        <v>43216.921900000001</v>
      </c>
      <c r="M64">
        <f>E64/L64</f>
        <v>0.92627837060278928</v>
      </c>
    </row>
    <row r="65" spans="1:13" x14ac:dyDescent="0.2">
      <c r="A65">
        <v>1581</v>
      </c>
      <c r="B65">
        <v>2528.41</v>
      </c>
      <c r="C65">
        <v>36.103900000000003</v>
      </c>
      <c r="D65">
        <v>128.99</v>
      </c>
      <c r="E65">
        <v>38600.300000000003</v>
      </c>
      <c r="F65">
        <v>31.974499999999999</v>
      </c>
      <c r="L65">
        <f t="shared" si="0"/>
        <v>41325.778399999996</v>
      </c>
      <c r="M65">
        <f t="shared" ref="M65:M123" si="3">E65/L65</f>
        <v>0.93404895187648795</v>
      </c>
    </row>
    <row r="66" spans="1:13" x14ac:dyDescent="0.2">
      <c r="A66">
        <v>2183</v>
      </c>
      <c r="B66">
        <v>2096.12</v>
      </c>
      <c r="C66">
        <v>27.3309</v>
      </c>
      <c r="D66">
        <v>66.797200000000004</v>
      </c>
      <c r="E66">
        <v>36991.599999999999</v>
      </c>
      <c r="F66">
        <v>40.031700000000001</v>
      </c>
      <c r="L66">
        <f t="shared" si="0"/>
        <v>39221.879799999995</v>
      </c>
      <c r="M66">
        <f t="shared" si="3"/>
        <v>0.94313684577657608</v>
      </c>
    </row>
    <row r="67" spans="1:13" x14ac:dyDescent="0.2">
      <c r="A67">
        <v>2786</v>
      </c>
      <c r="B67">
        <v>164.608</v>
      </c>
      <c r="C67">
        <v>32.360500000000002</v>
      </c>
      <c r="D67">
        <v>97.718100000000007</v>
      </c>
      <c r="E67">
        <v>35881.9</v>
      </c>
      <c r="F67">
        <v>38.448500000000003</v>
      </c>
      <c r="L67">
        <f t="shared" ref="L67:L123" si="4">SUM(B67:J67)</f>
        <v>36215.035100000001</v>
      </c>
      <c r="M67">
        <f t="shared" si="3"/>
        <v>0.99080119350761031</v>
      </c>
    </row>
    <row r="68" spans="1:13" x14ac:dyDescent="0.2">
      <c r="A68">
        <v>3389</v>
      </c>
      <c r="B68">
        <v>169.16200000000001</v>
      </c>
      <c r="C68">
        <v>38.707900000000002</v>
      </c>
      <c r="D68">
        <v>128.661</v>
      </c>
      <c r="E68">
        <v>34743.300000000003</v>
      </c>
      <c r="F68">
        <v>27.494499999999999</v>
      </c>
      <c r="L68">
        <f t="shared" si="4"/>
        <v>35107.325400000002</v>
      </c>
      <c r="M68">
        <f t="shared" si="3"/>
        <v>0.98963106998746198</v>
      </c>
    </row>
    <row r="69" spans="1:13" x14ac:dyDescent="0.2">
      <c r="A69">
        <v>3992</v>
      </c>
      <c r="B69">
        <v>177.172</v>
      </c>
      <c r="C69">
        <v>34.651800000000001</v>
      </c>
      <c r="D69">
        <v>130.54499999999999</v>
      </c>
      <c r="E69">
        <v>33750.800000000003</v>
      </c>
      <c r="F69">
        <v>14.9268</v>
      </c>
      <c r="L69">
        <f t="shared" si="4"/>
        <v>34108.095600000001</v>
      </c>
      <c r="M69">
        <f t="shared" si="3"/>
        <v>0.9895246101045877</v>
      </c>
    </row>
    <row r="70" spans="1:13" x14ac:dyDescent="0.2">
      <c r="A70">
        <v>4595</v>
      </c>
      <c r="B70">
        <v>158.52099999999999</v>
      </c>
      <c r="C70">
        <v>22.6357</v>
      </c>
      <c r="D70">
        <v>145.08199999999999</v>
      </c>
      <c r="E70">
        <v>33081.9</v>
      </c>
      <c r="F70">
        <v>0.193277</v>
      </c>
      <c r="L70">
        <f t="shared" si="4"/>
        <v>33408.331977000002</v>
      </c>
      <c r="M70">
        <f t="shared" si="3"/>
        <v>0.99022902498620002</v>
      </c>
    </row>
    <row r="71" spans="1:13" x14ac:dyDescent="0.2">
      <c r="A71">
        <v>5197</v>
      </c>
      <c r="B71">
        <v>153.50299999999999</v>
      </c>
      <c r="C71">
        <v>34.9435</v>
      </c>
      <c r="D71">
        <v>173.26300000000001</v>
      </c>
      <c r="E71">
        <v>32393.9</v>
      </c>
      <c r="F71">
        <v>24.058800000000002</v>
      </c>
      <c r="L71">
        <f t="shared" si="4"/>
        <v>32779.668300000005</v>
      </c>
      <c r="M71">
        <f t="shared" si="3"/>
        <v>0.98823147639965581</v>
      </c>
    </row>
    <row r="72" spans="1:13" x14ac:dyDescent="0.2">
      <c r="A72">
        <v>5800</v>
      </c>
      <c r="B72">
        <v>155.27199999999999</v>
      </c>
      <c r="C72">
        <v>33.0077</v>
      </c>
      <c r="D72">
        <v>172.797</v>
      </c>
      <c r="E72">
        <v>31814</v>
      </c>
      <c r="F72">
        <v>-4.9065200000000004</v>
      </c>
      <c r="L72">
        <f t="shared" si="4"/>
        <v>32170.170180000001</v>
      </c>
      <c r="M72">
        <f t="shared" si="3"/>
        <v>0.9889285577910486</v>
      </c>
    </row>
    <row r="73" spans="1:13" x14ac:dyDescent="0.2">
      <c r="A73">
        <v>6403</v>
      </c>
      <c r="B73">
        <v>160.399</v>
      </c>
      <c r="C73">
        <v>15.2669</v>
      </c>
      <c r="D73">
        <v>171.07499999999999</v>
      </c>
      <c r="E73">
        <v>31375.8</v>
      </c>
      <c r="F73">
        <v>0.98350899999999997</v>
      </c>
      <c r="L73">
        <f t="shared" si="4"/>
        <v>31723.524409000001</v>
      </c>
      <c r="M73">
        <f t="shared" si="3"/>
        <v>0.98903890991061028</v>
      </c>
    </row>
    <row r="74" spans="1:13" x14ac:dyDescent="0.2">
      <c r="A74">
        <v>7006</v>
      </c>
      <c r="B74">
        <v>174.25</v>
      </c>
      <c r="C74">
        <v>21.856400000000001</v>
      </c>
      <c r="D74">
        <v>196.86600000000001</v>
      </c>
      <c r="E74">
        <v>30919.599999999999</v>
      </c>
      <c r="F74">
        <v>-7.7776100000000001</v>
      </c>
      <c r="L74">
        <f t="shared" si="4"/>
        <v>31304.794789999996</v>
      </c>
      <c r="M74">
        <f t="shared" si="3"/>
        <v>0.98769534211663179</v>
      </c>
    </row>
    <row r="75" spans="1:13" x14ac:dyDescent="0.2">
      <c r="A75">
        <v>7608</v>
      </c>
      <c r="B75">
        <v>152.03200000000001</v>
      </c>
      <c r="C75">
        <v>29.0687</v>
      </c>
      <c r="D75">
        <v>189.125</v>
      </c>
      <c r="E75">
        <v>30567.5</v>
      </c>
      <c r="F75">
        <v>-23.0166</v>
      </c>
      <c r="L75">
        <f t="shared" si="4"/>
        <v>30914.7091</v>
      </c>
      <c r="M75">
        <f t="shared" si="3"/>
        <v>0.98876880584976945</v>
      </c>
    </row>
    <row r="76" spans="1:13" x14ac:dyDescent="0.2">
      <c r="A76">
        <v>8211</v>
      </c>
      <c r="B76">
        <v>150.79400000000001</v>
      </c>
      <c r="C76">
        <v>27.130400000000002</v>
      </c>
      <c r="D76">
        <v>201.28800000000001</v>
      </c>
      <c r="E76">
        <v>30151.5</v>
      </c>
      <c r="F76">
        <v>-5.1706799999999999</v>
      </c>
      <c r="L76">
        <f t="shared" si="4"/>
        <v>30525.541720000001</v>
      </c>
      <c r="M76">
        <f t="shared" si="3"/>
        <v>0.98774659845741797</v>
      </c>
    </row>
    <row r="77" spans="1:13" x14ac:dyDescent="0.2">
      <c r="A77">
        <v>8814</v>
      </c>
      <c r="B77">
        <v>149.96199999999999</v>
      </c>
      <c r="C77">
        <v>34.0473</v>
      </c>
      <c r="D77">
        <v>218.286</v>
      </c>
      <c r="E77">
        <v>29899.8</v>
      </c>
      <c r="F77">
        <v>-3.6649500000000002</v>
      </c>
      <c r="L77">
        <f t="shared" si="4"/>
        <v>30298.430350000002</v>
      </c>
      <c r="M77">
        <f t="shared" si="3"/>
        <v>0.98684320126834546</v>
      </c>
    </row>
    <row r="78" spans="1:13" x14ac:dyDescent="0.2">
      <c r="A78">
        <v>9417</v>
      </c>
      <c r="B78">
        <v>152.696</v>
      </c>
      <c r="C78">
        <v>44.379100000000001</v>
      </c>
      <c r="D78">
        <v>215.87</v>
      </c>
      <c r="E78">
        <v>29603.4</v>
      </c>
      <c r="F78">
        <v>-18.371099999999998</v>
      </c>
      <c r="L78">
        <f t="shared" si="4"/>
        <v>29997.974000000002</v>
      </c>
      <c r="M78">
        <f t="shared" si="3"/>
        <v>0.98684664504342856</v>
      </c>
    </row>
    <row r="79" spans="1:13" x14ac:dyDescent="0.2">
      <c r="A79">
        <v>10019</v>
      </c>
      <c r="B79">
        <v>157.72200000000001</v>
      </c>
      <c r="C79">
        <v>42.901499999999999</v>
      </c>
      <c r="D79">
        <v>240.434</v>
      </c>
      <c r="E79">
        <v>29461.599999999999</v>
      </c>
      <c r="F79">
        <v>-19.361499999999999</v>
      </c>
      <c r="L79">
        <f t="shared" si="4"/>
        <v>29883.295999999998</v>
      </c>
      <c r="M79">
        <f t="shared" si="3"/>
        <v>0.98588857132760721</v>
      </c>
    </row>
    <row r="80" spans="1:13" x14ac:dyDescent="0.2">
      <c r="A80">
        <v>10622</v>
      </c>
      <c r="B80">
        <v>155.34</v>
      </c>
      <c r="C80">
        <v>42.288800000000002</v>
      </c>
      <c r="D80">
        <v>241.69800000000001</v>
      </c>
      <c r="E80">
        <v>29460.1</v>
      </c>
      <c r="F80">
        <v>-7.3743699999999999</v>
      </c>
      <c r="L80">
        <f t="shared" si="4"/>
        <v>29892.052429999996</v>
      </c>
      <c r="M80">
        <f t="shared" si="3"/>
        <v>0.98554958944316295</v>
      </c>
    </row>
    <row r="81" spans="1:13" x14ac:dyDescent="0.2">
      <c r="A81">
        <v>11225</v>
      </c>
      <c r="B81">
        <v>146.62799999999999</v>
      </c>
      <c r="C81">
        <v>41.372</v>
      </c>
      <c r="D81">
        <v>247.708</v>
      </c>
      <c r="E81">
        <v>29336.9</v>
      </c>
      <c r="F81">
        <v>-1.93208</v>
      </c>
      <c r="L81">
        <f t="shared" si="4"/>
        <v>29770.675920000001</v>
      </c>
      <c r="M81">
        <f t="shared" si="3"/>
        <v>0.98542942319597826</v>
      </c>
    </row>
    <row r="82" spans="1:13" x14ac:dyDescent="0.2">
      <c r="A82">
        <v>11828</v>
      </c>
      <c r="B82">
        <v>156.399</v>
      </c>
      <c r="C82">
        <v>45.038899999999998</v>
      </c>
      <c r="D82">
        <v>239.32599999999999</v>
      </c>
      <c r="E82">
        <v>28894.6</v>
      </c>
      <c r="F82">
        <v>-8.1496499999999994</v>
      </c>
      <c r="L82">
        <f t="shared" si="4"/>
        <v>29327.214250000001</v>
      </c>
      <c r="M82">
        <f t="shared" si="3"/>
        <v>0.98524870973723655</v>
      </c>
    </row>
    <row r="83" spans="1:13" x14ac:dyDescent="0.2">
      <c r="A83">
        <v>12431</v>
      </c>
      <c r="B83">
        <v>156.96700000000001</v>
      </c>
      <c r="C83">
        <v>47.8371</v>
      </c>
      <c r="D83">
        <v>266.50099999999998</v>
      </c>
      <c r="E83">
        <v>28767.9</v>
      </c>
      <c r="F83">
        <v>-27.471599999999999</v>
      </c>
      <c r="L83">
        <f t="shared" si="4"/>
        <v>29211.733500000002</v>
      </c>
      <c r="M83">
        <f t="shared" si="3"/>
        <v>0.98480632790929712</v>
      </c>
    </row>
    <row r="84" spans="1:13" x14ac:dyDescent="0.2">
      <c r="A84">
        <v>13033</v>
      </c>
      <c r="B84">
        <v>148.18</v>
      </c>
      <c r="C84">
        <v>49.408099999999997</v>
      </c>
      <c r="D84">
        <v>264.43799999999999</v>
      </c>
      <c r="E84">
        <v>28612.2</v>
      </c>
      <c r="F84">
        <v>-18.1158</v>
      </c>
      <c r="L84">
        <f t="shared" si="4"/>
        <v>29056.1103</v>
      </c>
      <c r="M84">
        <f t="shared" si="3"/>
        <v>0.98472230813358386</v>
      </c>
    </row>
    <row r="85" spans="1:13" x14ac:dyDescent="0.2">
      <c r="A85">
        <v>13636</v>
      </c>
      <c r="B85">
        <v>142.04900000000001</v>
      </c>
      <c r="C85">
        <v>58.22</v>
      </c>
      <c r="D85">
        <v>265.33600000000001</v>
      </c>
      <c r="E85">
        <v>28544.400000000001</v>
      </c>
      <c r="F85">
        <v>-10.735900000000001</v>
      </c>
      <c r="L85">
        <f t="shared" si="4"/>
        <v>28999.269100000001</v>
      </c>
      <c r="M85">
        <f t="shared" si="3"/>
        <v>0.98431446329107652</v>
      </c>
    </row>
    <row r="86" spans="1:13" x14ac:dyDescent="0.2">
      <c r="A86">
        <v>14239</v>
      </c>
      <c r="B86">
        <v>151.33799999999999</v>
      </c>
      <c r="C86">
        <v>56.503500000000003</v>
      </c>
      <c r="D86">
        <v>282.26400000000001</v>
      </c>
      <c r="E86">
        <v>28374.7</v>
      </c>
      <c r="F86">
        <v>-10.7872</v>
      </c>
      <c r="L86">
        <f t="shared" si="4"/>
        <v>28854.018300000003</v>
      </c>
      <c r="M86">
        <f t="shared" si="3"/>
        <v>0.98338816122536377</v>
      </c>
    </row>
    <row r="87" spans="1:13" x14ac:dyDescent="0.2">
      <c r="A87">
        <v>14842</v>
      </c>
      <c r="B87">
        <v>156.22300000000001</v>
      </c>
      <c r="C87">
        <v>54.770800000000001</v>
      </c>
      <c r="D87">
        <v>261.72399999999999</v>
      </c>
      <c r="E87">
        <v>28466.3</v>
      </c>
      <c r="F87">
        <v>-30.491900000000001</v>
      </c>
      <c r="L87">
        <f t="shared" si="4"/>
        <v>28908.525899999997</v>
      </c>
      <c r="M87">
        <f t="shared" si="3"/>
        <v>0.9847025786949587</v>
      </c>
    </row>
    <row r="88" spans="1:13" x14ac:dyDescent="0.2">
      <c r="A88">
        <v>15444</v>
      </c>
      <c r="B88">
        <v>146.96899999999999</v>
      </c>
      <c r="C88">
        <v>46.406700000000001</v>
      </c>
      <c r="D88">
        <v>290.87900000000002</v>
      </c>
      <c r="E88">
        <v>28437.8</v>
      </c>
      <c r="F88">
        <v>-19.731999999999999</v>
      </c>
      <c r="L88">
        <f t="shared" si="4"/>
        <v>28902.322700000001</v>
      </c>
      <c r="M88">
        <f t="shared" si="3"/>
        <v>0.98392784189625004</v>
      </c>
    </row>
    <row r="89" spans="1:13" x14ac:dyDescent="0.2">
      <c r="A89">
        <v>16047</v>
      </c>
      <c r="B89">
        <v>159.05000000000001</v>
      </c>
      <c r="C89">
        <v>46.730400000000003</v>
      </c>
      <c r="D89">
        <v>315.358</v>
      </c>
      <c r="E89">
        <v>28627.8</v>
      </c>
      <c r="F89">
        <v>-25.5381</v>
      </c>
      <c r="L89">
        <f t="shared" si="4"/>
        <v>29123.400299999998</v>
      </c>
      <c r="M89">
        <f t="shared" si="3"/>
        <v>0.98298274600854219</v>
      </c>
    </row>
    <row r="90" spans="1:13" x14ac:dyDescent="0.2">
      <c r="A90">
        <v>16650</v>
      </c>
      <c r="B90">
        <v>140.24199999999999</v>
      </c>
      <c r="C90">
        <v>51.686999999999998</v>
      </c>
      <c r="D90">
        <v>317.36900000000003</v>
      </c>
      <c r="E90">
        <v>28588</v>
      </c>
      <c r="F90">
        <v>-22.0136</v>
      </c>
      <c r="L90">
        <f t="shared" si="4"/>
        <v>29075.2844</v>
      </c>
      <c r="M90">
        <f t="shared" si="3"/>
        <v>0.98324059729575675</v>
      </c>
    </row>
    <row r="91" spans="1:13" x14ac:dyDescent="0.2">
      <c r="A91">
        <v>17253</v>
      </c>
      <c r="B91">
        <v>153.18600000000001</v>
      </c>
      <c r="C91">
        <v>56.445300000000003</v>
      </c>
      <c r="D91">
        <v>326.42</v>
      </c>
      <c r="E91">
        <v>28534.400000000001</v>
      </c>
      <c r="F91">
        <v>-16.655000000000001</v>
      </c>
      <c r="L91">
        <f t="shared" si="4"/>
        <v>29053.796300000002</v>
      </c>
      <c r="M91">
        <f t="shared" si="3"/>
        <v>0.98212294549611057</v>
      </c>
    </row>
    <row r="92" spans="1:13" x14ac:dyDescent="0.2">
      <c r="A92">
        <v>17856</v>
      </c>
      <c r="B92">
        <v>148.27199999999999</v>
      </c>
      <c r="C92">
        <v>53.456200000000003</v>
      </c>
      <c r="D92">
        <v>326.31799999999998</v>
      </c>
      <c r="E92">
        <v>28758.6</v>
      </c>
      <c r="F92">
        <v>-20.164899999999999</v>
      </c>
      <c r="L92">
        <f t="shared" si="4"/>
        <v>29266.481299999999</v>
      </c>
      <c r="M92">
        <f t="shared" si="3"/>
        <v>0.9826463149158966</v>
      </c>
    </row>
    <row r="93" spans="1:13" x14ac:dyDescent="0.2">
      <c r="A93">
        <v>18458</v>
      </c>
      <c r="B93">
        <v>146.054</v>
      </c>
      <c r="C93">
        <v>47.618699999999997</v>
      </c>
      <c r="D93">
        <v>342.09</v>
      </c>
      <c r="E93">
        <v>28670.9</v>
      </c>
      <c r="F93">
        <v>-36.688699999999997</v>
      </c>
      <c r="L93">
        <f t="shared" si="4"/>
        <v>29169.974000000002</v>
      </c>
      <c r="M93">
        <f t="shared" si="3"/>
        <v>0.98289083151051149</v>
      </c>
    </row>
    <row r="94" spans="1:13" x14ac:dyDescent="0.2">
      <c r="A94">
        <v>19061</v>
      </c>
      <c r="B94">
        <v>137.505</v>
      </c>
      <c r="C94">
        <v>53.6447</v>
      </c>
      <c r="D94">
        <v>335.142</v>
      </c>
      <c r="E94">
        <v>28586</v>
      </c>
      <c r="F94">
        <v>-23.139299999999999</v>
      </c>
      <c r="L94">
        <f t="shared" si="4"/>
        <v>29089.152400000003</v>
      </c>
      <c r="M94">
        <f t="shared" si="3"/>
        <v>0.98270309175457438</v>
      </c>
    </row>
    <row r="95" spans="1:13" x14ac:dyDescent="0.2">
      <c r="A95">
        <v>19664</v>
      </c>
      <c r="B95">
        <v>144.18299999999999</v>
      </c>
      <c r="C95">
        <v>75.057599999999994</v>
      </c>
      <c r="D95">
        <v>319.85700000000003</v>
      </c>
      <c r="E95">
        <v>28434.1</v>
      </c>
      <c r="F95">
        <v>-23.139600000000002</v>
      </c>
      <c r="L95">
        <f t="shared" si="4"/>
        <v>28950.058000000001</v>
      </c>
      <c r="M95">
        <f t="shared" si="3"/>
        <v>0.98217765228656873</v>
      </c>
    </row>
    <row r="96" spans="1:13" x14ac:dyDescent="0.2">
      <c r="A96">
        <v>20267</v>
      </c>
      <c r="B96">
        <v>145.495</v>
      </c>
      <c r="C96">
        <v>46.098399999999998</v>
      </c>
      <c r="D96">
        <v>355.27499999999998</v>
      </c>
      <c r="E96">
        <v>28402.400000000001</v>
      </c>
      <c r="F96">
        <v>-16.4727</v>
      </c>
      <c r="L96">
        <f t="shared" si="4"/>
        <v>28932.795700000002</v>
      </c>
      <c r="M96">
        <f t="shared" si="3"/>
        <v>0.98166801074118115</v>
      </c>
    </row>
    <row r="97" spans="1:13" x14ac:dyDescent="0.2">
      <c r="A97">
        <v>20869</v>
      </c>
      <c r="B97">
        <v>143.77699999999999</v>
      </c>
      <c r="C97">
        <v>56.996400000000001</v>
      </c>
      <c r="D97">
        <v>346.71899999999999</v>
      </c>
      <c r="E97">
        <v>28469.5</v>
      </c>
      <c r="F97">
        <v>-15.604799999999999</v>
      </c>
      <c r="L97">
        <f t="shared" si="4"/>
        <v>29001.387599999998</v>
      </c>
      <c r="M97">
        <f t="shared" si="3"/>
        <v>0.98165992581679096</v>
      </c>
    </row>
    <row r="98" spans="1:13" x14ac:dyDescent="0.2">
      <c r="A98">
        <v>21472</v>
      </c>
      <c r="B98">
        <v>133.41</v>
      </c>
      <c r="C98">
        <v>69.952299999999994</v>
      </c>
      <c r="D98">
        <v>367.90699999999998</v>
      </c>
      <c r="E98">
        <v>28731.5</v>
      </c>
      <c r="F98">
        <v>-19.275099999999998</v>
      </c>
      <c r="L98">
        <f t="shared" si="4"/>
        <v>29283.494200000001</v>
      </c>
      <c r="M98">
        <f t="shared" si="3"/>
        <v>0.98114998858298808</v>
      </c>
    </row>
    <row r="99" spans="1:13" x14ac:dyDescent="0.2">
      <c r="A99">
        <v>22075</v>
      </c>
      <c r="B99">
        <v>142.892</v>
      </c>
      <c r="C99">
        <v>65.104299999999995</v>
      </c>
      <c r="D99">
        <v>379.75</v>
      </c>
      <c r="E99">
        <v>28804.9</v>
      </c>
      <c r="F99">
        <v>-21.1721</v>
      </c>
      <c r="L99">
        <f t="shared" si="4"/>
        <v>29371.474200000001</v>
      </c>
      <c r="M99">
        <f t="shared" si="3"/>
        <v>0.98071005234051212</v>
      </c>
    </row>
    <row r="100" spans="1:13" x14ac:dyDescent="0.2">
      <c r="A100">
        <v>22678</v>
      </c>
      <c r="B100">
        <v>149.899</v>
      </c>
      <c r="C100">
        <v>53.157899999999998</v>
      </c>
      <c r="D100">
        <v>389.84100000000001</v>
      </c>
      <c r="E100">
        <v>28895.7</v>
      </c>
      <c r="F100">
        <v>-23.196300000000001</v>
      </c>
      <c r="L100">
        <f t="shared" si="4"/>
        <v>29465.401600000001</v>
      </c>
      <c r="M100">
        <f t="shared" si="3"/>
        <v>0.98066540521884482</v>
      </c>
    </row>
    <row r="101" spans="1:13" x14ac:dyDescent="0.2">
      <c r="A101">
        <v>23281</v>
      </c>
      <c r="B101">
        <v>152.167</v>
      </c>
      <c r="C101">
        <v>64.391599999999997</v>
      </c>
      <c r="D101">
        <v>357.21100000000001</v>
      </c>
      <c r="E101">
        <v>28962.9</v>
      </c>
      <c r="F101">
        <v>-16.184100000000001</v>
      </c>
      <c r="L101">
        <f t="shared" si="4"/>
        <v>29520.485500000003</v>
      </c>
      <c r="M101">
        <f t="shared" si="3"/>
        <v>0.98111191294601163</v>
      </c>
    </row>
    <row r="102" spans="1:13" x14ac:dyDescent="0.2">
      <c r="A102">
        <v>23883</v>
      </c>
      <c r="B102">
        <v>152.68299999999999</v>
      </c>
      <c r="C102">
        <v>69.251999999999995</v>
      </c>
      <c r="D102">
        <v>383.28100000000001</v>
      </c>
      <c r="E102">
        <v>28843.200000000001</v>
      </c>
      <c r="F102">
        <v>-26.193100000000001</v>
      </c>
      <c r="L102">
        <f t="shared" si="4"/>
        <v>29422.222900000001</v>
      </c>
      <c r="M102">
        <f t="shared" si="3"/>
        <v>0.98032021910893752</v>
      </c>
    </row>
    <row r="103" spans="1:13" x14ac:dyDescent="0.2">
      <c r="A103">
        <v>24486</v>
      </c>
      <c r="B103">
        <v>148.59399999999999</v>
      </c>
      <c r="C103">
        <v>68.879000000000005</v>
      </c>
      <c r="D103">
        <v>375.87599999999998</v>
      </c>
      <c r="E103">
        <v>28746.7</v>
      </c>
      <c r="F103">
        <v>-19.507999999999999</v>
      </c>
      <c r="L103">
        <f t="shared" si="4"/>
        <v>29320.540999999997</v>
      </c>
      <c r="M103">
        <f t="shared" si="3"/>
        <v>0.98042870354950151</v>
      </c>
    </row>
    <row r="104" spans="1:13" x14ac:dyDescent="0.2">
      <c r="A104">
        <v>25089</v>
      </c>
      <c r="B104">
        <v>148.31</v>
      </c>
      <c r="C104">
        <v>63.519500000000001</v>
      </c>
      <c r="D104">
        <v>385.40100000000001</v>
      </c>
      <c r="E104">
        <v>28854.7</v>
      </c>
      <c r="F104">
        <v>-26.174499999999998</v>
      </c>
      <c r="L104">
        <f t="shared" si="4"/>
        <v>29425.756000000001</v>
      </c>
      <c r="M104">
        <f t="shared" si="3"/>
        <v>0.98059332783157716</v>
      </c>
    </row>
    <row r="105" spans="1:13" x14ac:dyDescent="0.2">
      <c r="A105">
        <v>25692</v>
      </c>
      <c r="B105">
        <v>151.13300000000001</v>
      </c>
      <c r="C105">
        <v>68.133899999999997</v>
      </c>
      <c r="D105">
        <v>409.36399999999998</v>
      </c>
      <c r="E105">
        <v>29169.3</v>
      </c>
      <c r="F105">
        <v>-22.627199999999998</v>
      </c>
      <c r="L105">
        <f t="shared" si="4"/>
        <v>29775.3037</v>
      </c>
      <c r="M105">
        <f t="shared" si="3"/>
        <v>0.97964743849111435</v>
      </c>
    </row>
    <row r="106" spans="1:13" x14ac:dyDescent="0.2">
      <c r="A106">
        <v>26295</v>
      </c>
      <c r="B106">
        <v>152.80500000000001</v>
      </c>
      <c r="C106">
        <v>65.706900000000005</v>
      </c>
      <c r="D106">
        <v>415.55</v>
      </c>
      <c r="E106">
        <v>29185.599999999999</v>
      </c>
      <c r="F106">
        <v>-18.888400000000001</v>
      </c>
      <c r="L106">
        <f t="shared" si="4"/>
        <v>29800.773499999999</v>
      </c>
      <c r="M106">
        <f t="shared" si="3"/>
        <v>0.97935712977382949</v>
      </c>
    </row>
    <row r="107" spans="1:13" x14ac:dyDescent="0.2">
      <c r="A107">
        <v>26897</v>
      </c>
      <c r="B107">
        <v>146.839</v>
      </c>
      <c r="C107">
        <v>69.792000000000002</v>
      </c>
      <c r="D107">
        <v>401.91699999999997</v>
      </c>
      <c r="E107">
        <v>29212.400000000001</v>
      </c>
      <c r="F107">
        <v>-20.82</v>
      </c>
      <c r="L107">
        <f t="shared" si="4"/>
        <v>29810.128000000001</v>
      </c>
      <c r="M107">
        <f t="shared" si="3"/>
        <v>0.9799488281298222</v>
      </c>
    </row>
    <row r="108" spans="1:13" x14ac:dyDescent="0.2">
      <c r="A108">
        <v>27500</v>
      </c>
      <c r="B108">
        <v>141.56100000000001</v>
      </c>
      <c r="C108">
        <v>70.042100000000005</v>
      </c>
      <c r="D108">
        <v>407.334</v>
      </c>
      <c r="E108">
        <v>29223.4</v>
      </c>
      <c r="F108">
        <v>-28.3629</v>
      </c>
      <c r="L108">
        <f t="shared" si="4"/>
        <v>29813.974200000001</v>
      </c>
      <c r="M108">
        <f t="shared" si="3"/>
        <v>0.9801913627469363</v>
      </c>
    </row>
    <row r="109" spans="1:13" x14ac:dyDescent="0.2">
      <c r="A109">
        <v>28103</v>
      </c>
      <c r="B109">
        <v>145.61600000000001</v>
      </c>
      <c r="C109">
        <v>60.087499999999999</v>
      </c>
      <c r="D109">
        <v>409.60899999999998</v>
      </c>
      <c r="E109">
        <v>29074.6</v>
      </c>
      <c r="F109">
        <v>-28.466000000000001</v>
      </c>
      <c r="L109">
        <f t="shared" si="4"/>
        <v>29661.446499999998</v>
      </c>
      <c r="M109">
        <f t="shared" si="3"/>
        <v>0.98021517595239327</v>
      </c>
    </row>
    <row r="110" spans="1:13" x14ac:dyDescent="0.2">
      <c r="A110">
        <v>28706</v>
      </c>
      <c r="B110">
        <v>147.708</v>
      </c>
      <c r="C110">
        <v>74.298100000000005</v>
      </c>
      <c r="D110">
        <v>402.714</v>
      </c>
      <c r="E110">
        <v>29157.5</v>
      </c>
      <c r="F110">
        <v>-28.989599999999999</v>
      </c>
      <c r="L110">
        <f t="shared" si="4"/>
        <v>29753.230499999998</v>
      </c>
      <c r="M110">
        <f t="shared" si="3"/>
        <v>0.97997761957310825</v>
      </c>
    </row>
    <row r="111" spans="1:13" x14ac:dyDescent="0.2">
      <c r="A111">
        <v>29308</v>
      </c>
      <c r="B111">
        <v>139.09200000000001</v>
      </c>
      <c r="C111">
        <v>63.805799999999998</v>
      </c>
      <c r="D111">
        <v>422.88</v>
      </c>
      <c r="E111">
        <v>29366.1</v>
      </c>
      <c r="F111">
        <v>-41.731999999999999</v>
      </c>
      <c r="L111">
        <f t="shared" si="4"/>
        <v>29950.145799999998</v>
      </c>
      <c r="M111">
        <f t="shared" si="3"/>
        <v>0.98049940044031436</v>
      </c>
    </row>
    <row r="112" spans="1:13" x14ac:dyDescent="0.2">
      <c r="A112">
        <v>29911</v>
      </c>
      <c r="B112">
        <v>149.67099999999999</v>
      </c>
      <c r="C112">
        <v>67.797200000000004</v>
      </c>
      <c r="D112">
        <v>399.89</v>
      </c>
      <c r="E112">
        <v>29281.1</v>
      </c>
      <c r="F112">
        <v>-32.805900000000001</v>
      </c>
      <c r="L112">
        <f t="shared" si="4"/>
        <v>29865.652299999998</v>
      </c>
      <c r="M112">
        <f t="shared" si="3"/>
        <v>0.98042727163203469</v>
      </c>
    </row>
    <row r="113" spans="1:13" x14ac:dyDescent="0.2">
      <c r="A113">
        <v>30514</v>
      </c>
      <c r="B113">
        <v>148.233</v>
      </c>
      <c r="C113">
        <v>64.416700000000006</v>
      </c>
      <c r="D113">
        <v>412.18400000000003</v>
      </c>
      <c r="E113">
        <v>29273.7</v>
      </c>
      <c r="F113">
        <v>-45.1616</v>
      </c>
      <c r="L113">
        <f t="shared" si="4"/>
        <v>29853.372100000001</v>
      </c>
      <c r="M113">
        <f t="shared" si="3"/>
        <v>0.98058269270023268</v>
      </c>
    </row>
    <row r="114" spans="1:13" x14ac:dyDescent="0.2">
      <c r="A114">
        <v>31117</v>
      </c>
      <c r="B114">
        <v>143.911</v>
      </c>
      <c r="C114">
        <v>88.189899999999994</v>
      </c>
      <c r="D114">
        <v>401.23399999999998</v>
      </c>
      <c r="E114">
        <v>29256.400000000001</v>
      </c>
      <c r="F114">
        <v>-37.671399999999998</v>
      </c>
      <c r="L114">
        <f t="shared" si="4"/>
        <v>29852.063500000004</v>
      </c>
      <c r="M114">
        <f t="shared" si="3"/>
        <v>0.98004615325838351</v>
      </c>
    </row>
    <row r="115" spans="1:13" x14ac:dyDescent="0.2">
      <c r="A115">
        <v>31720</v>
      </c>
      <c r="B115">
        <v>155.31100000000001</v>
      </c>
      <c r="C115">
        <v>72.573300000000003</v>
      </c>
      <c r="D115">
        <v>414.95100000000002</v>
      </c>
      <c r="E115">
        <v>29255.8</v>
      </c>
      <c r="F115">
        <v>-39.696899999999999</v>
      </c>
      <c r="L115">
        <f t="shared" si="4"/>
        <v>29858.938399999999</v>
      </c>
      <c r="M115">
        <f t="shared" si="3"/>
        <v>0.97980040710355598</v>
      </c>
    </row>
    <row r="116" spans="1:13" x14ac:dyDescent="0.2">
      <c r="A116">
        <v>32322</v>
      </c>
      <c r="B116">
        <v>141.99199999999999</v>
      </c>
      <c r="C116">
        <v>68.349100000000007</v>
      </c>
      <c r="D116">
        <v>402.642</v>
      </c>
      <c r="E116">
        <v>29187.7</v>
      </c>
      <c r="F116">
        <v>-39.335500000000003</v>
      </c>
      <c r="L116">
        <f t="shared" si="4"/>
        <v>29761.347600000001</v>
      </c>
      <c r="M116">
        <f t="shared" si="3"/>
        <v>0.98072507980115797</v>
      </c>
    </row>
    <row r="117" spans="1:13" x14ac:dyDescent="0.2">
      <c r="A117">
        <v>32925</v>
      </c>
      <c r="B117">
        <v>143.86199999999999</v>
      </c>
      <c r="C117">
        <v>58.461300000000001</v>
      </c>
      <c r="D117">
        <v>373.94099999999997</v>
      </c>
      <c r="E117">
        <v>29204.2</v>
      </c>
      <c r="F117">
        <v>-48.162100000000002</v>
      </c>
      <c r="L117">
        <f t="shared" si="4"/>
        <v>29732.302199999998</v>
      </c>
      <c r="M117">
        <f t="shared" si="3"/>
        <v>0.98223809927507066</v>
      </c>
    </row>
    <row r="118" spans="1:13" x14ac:dyDescent="0.2">
      <c r="A118">
        <v>33528</v>
      </c>
      <c r="B118">
        <v>146.14500000000001</v>
      </c>
      <c r="C118">
        <v>61.016599999999997</v>
      </c>
      <c r="D118">
        <v>406.851</v>
      </c>
      <c r="E118">
        <v>29208</v>
      </c>
      <c r="F118">
        <v>-50.226500000000001</v>
      </c>
      <c r="L118">
        <f t="shared" si="4"/>
        <v>29771.786100000001</v>
      </c>
      <c r="M118">
        <f t="shared" si="3"/>
        <v>0.98106307434474005</v>
      </c>
    </row>
    <row r="119" spans="1:13" x14ac:dyDescent="0.2">
      <c r="A119">
        <v>34131</v>
      </c>
      <c r="B119">
        <v>152.68700000000001</v>
      </c>
      <c r="C119">
        <v>75.999399999999994</v>
      </c>
      <c r="D119">
        <v>399.08699999999999</v>
      </c>
      <c r="E119">
        <v>29136.400000000001</v>
      </c>
      <c r="F119">
        <v>-56.032299999999999</v>
      </c>
      <c r="L119">
        <f t="shared" si="4"/>
        <v>29708.141100000001</v>
      </c>
      <c r="M119">
        <f t="shared" si="3"/>
        <v>0.98075473325390938</v>
      </c>
    </row>
    <row r="120" spans="1:13" x14ac:dyDescent="0.2">
      <c r="A120">
        <v>34733</v>
      </c>
      <c r="B120">
        <v>146.67400000000001</v>
      </c>
      <c r="C120">
        <v>63.6145</v>
      </c>
      <c r="D120">
        <v>399.18700000000001</v>
      </c>
      <c r="E120">
        <v>29165.8</v>
      </c>
      <c r="F120">
        <v>-52.523899999999998</v>
      </c>
      <c r="L120">
        <f t="shared" si="4"/>
        <v>29722.7516</v>
      </c>
      <c r="M120">
        <f t="shared" si="3"/>
        <v>0.98126177523887126</v>
      </c>
    </row>
    <row r="121" spans="1:13" x14ac:dyDescent="0.2">
      <c r="A121">
        <v>35336</v>
      </c>
      <c r="B121">
        <v>143.16499999999999</v>
      </c>
      <c r="C121">
        <v>71.515699999999995</v>
      </c>
      <c r="D121">
        <v>395.15499999999997</v>
      </c>
      <c r="E121">
        <v>29197.3</v>
      </c>
      <c r="F121">
        <v>-67.250900000000001</v>
      </c>
      <c r="L121">
        <f t="shared" si="4"/>
        <v>29739.8848</v>
      </c>
      <c r="M121">
        <f t="shared" si="3"/>
        <v>0.98175565226130257</v>
      </c>
    </row>
    <row r="122" spans="1:13" x14ac:dyDescent="0.2">
      <c r="A122">
        <v>35939</v>
      </c>
      <c r="B122">
        <v>158.976</v>
      </c>
      <c r="C122">
        <v>74.189499999999995</v>
      </c>
      <c r="D122">
        <v>415.00299999999999</v>
      </c>
      <c r="E122">
        <v>29094.5</v>
      </c>
      <c r="F122">
        <v>-72.0715</v>
      </c>
      <c r="L122">
        <f t="shared" si="4"/>
        <v>29670.597000000002</v>
      </c>
      <c r="M122">
        <f t="shared" si="3"/>
        <v>0.98058357234942051</v>
      </c>
    </row>
    <row r="123" spans="1:13" x14ac:dyDescent="0.2">
      <c r="A123">
        <v>36542</v>
      </c>
      <c r="B123">
        <v>137.34899999999999</v>
      </c>
      <c r="C123">
        <v>63.318800000000003</v>
      </c>
      <c r="D123">
        <v>403.64299999999997</v>
      </c>
      <c r="E123">
        <v>29143</v>
      </c>
      <c r="F123">
        <v>-72.823300000000003</v>
      </c>
      <c r="L123">
        <f t="shared" si="4"/>
        <v>29674.487499999999</v>
      </c>
      <c r="M123">
        <f t="shared" si="3"/>
        <v>0.98208941266466698</v>
      </c>
    </row>
    <row r="125" spans="1:13" x14ac:dyDescent="0.2">
      <c r="A125" t="s">
        <v>0</v>
      </c>
      <c r="B125" t="s">
        <v>15</v>
      </c>
    </row>
    <row r="126" spans="1:13" x14ac:dyDescent="0.2">
      <c r="A126">
        <v>978</v>
      </c>
      <c r="B126">
        <v>412210</v>
      </c>
    </row>
    <row r="127" spans="1:13" x14ac:dyDescent="0.2">
      <c r="A127">
        <v>1581</v>
      </c>
      <c r="B127">
        <v>357042</v>
      </c>
    </row>
    <row r="128" spans="1:13" x14ac:dyDescent="0.2">
      <c r="A128">
        <v>2183</v>
      </c>
      <c r="B128">
        <v>316332</v>
      </c>
    </row>
    <row r="129" spans="1:2" x14ac:dyDescent="0.2">
      <c r="A129">
        <v>2786</v>
      </c>
      <c r="B129">
        <v>281792</v>
      </c>
    </row>
    <row r="130" spans="1:2" x14ac:dyDescent="0.2">
      <c r="A130">
        <v>3389</v>
      </c>
      <c r="B130">
        <v>250137</v>
      </c>
    </row>
    <row r="131" spans="1:2" x14ac:dyDescent="0.2">
      <c r="A131">
        <v>3992</v>
      </c>
      <c r="B131">
        <v>223041</v>
      </c>
    </row>
    <row r="132" spans="1:2" x14ac:dyDescent="0.2">
      <c r="A132">
        <v>4595</v>
      </c>
      <c r="B132">
        <v>203248</v>
      </c>
    </row>
    <row r="133" spans="1:2" x14ac:dyDescent="0.2">
      <c r="A133">
        <v>5197</v>
      </c>
      <c r="B133">
        <v>184321</v>
      </c>
    </row>
    <row r="134" spans="1:2" x14ac:dyDescent="0.2">
      <c r="A134">
        <v>5800</v>
      </c>
      <c r="B134">
        <v>167469</v>
      </c>
    </row>
    <row r="135" spans="1:2" x14ac:dyDescent="0.2">
      <c r="A135">
        <v>6403</v>
      </c>
      <c r="B135">
        <v>152467</v>
      </c>
    </row>
    <row r="136" spans="1:2" x14ac:dyDescent="0.2">
      <c r="A136">
        <v>7006</v>
      </c>
      <c r="B136">
        <v>140305</v>
      </c>
    </row>
    <row r="137" spans="1:2" x14ac:dyDescent="0.2">
      <c r="A137">
        <v>7608</v>
      </c>
      <c r="B137">
        <v>129007</v>
      </c>
    </row>
    <row r="138" spans="1:2" x14ac:dyDescent="0.2">
      <c r="A138">
        <v>8211</v>
      </c>
      <c r="B138">
        <v>118159</v>
      </c>
    </row>
    <row r="139" spans="1:2" x14ac:dyDescent="0.2">
      <c r="A139">
        <v>8814</v>
      </c>
      <c r="B139">
        <v>109434</v>
      </c>
    </row>
    <row r="140" spans="1:2" x14ac:dyDescent="0.2">
      <c r="A140">
        <v>9417</v>
      </c>
      <c r="B140">
        <v>100625</v>
      </c>
    </row>
    <row r="141" spans="1:2" x14ac:dyDescent="0.2">
      <c r="A141">
        <v>10019</v>
      </c>
      <c r="B141">
        <v>92788.5</v>
      </c>
    </row>
    <row r="142" spans="1:2" x14ac:dyDescent="0.2">
      <c r="A142">
        <v>10622</v>
      </c>
      <c r="B142">
        <v>86631.7</v>
      </c>
    </row>
    <row r="143" spans="1:2" x14ac:dyDescent="0.2">
      <c r="A143">
        <v>11225</v>
      </c>
      <c r="B143">
        <v>80217.3</v>
      </c>
    </row>
    <row r="144" spans="1:2" x14ac:dyDescent="0.2">
      <c r="A144">
        <v>11828</v>
      </c>
      <c r="B144">
        <v>74342.399999999994</v>
      </c>
    </row>
    <row r="145" spans="1:2" x14ac:dyDescent="0.2">
      <c r="A145">
        <v>12431</v>
      </c>
      <c r="B145">
        <v>68155.8</v>
      </c>
    </row>
    <row r="146" spans="1:2" x14ac:dyDescent="0.2">
      <c r="A146">
        <v>13033</v>
      </c>
      <c r="B146">
        <v>63219.6</v>
      </c>
    </row>
    <row r="147" spans="1:2" x14ac:dyDescent="0.2">
      <c r="A147">
        <v>13636</v>
      </c>
      <c r="B147">
        <v>59695.1</v>
      </c>
    </row>
    <row r="148" spans="1:2" x14ac:dyDescent="0.2">
      <c r="A148">
        <v>14239</v>
      </c>
      <c r="B148">
        <v>54281</v>
      </c>
    </row>
    <row r="149" spans="1:2" x14ac:dyDescent="0.2">
      <c r="A149">
        <v>14842</v>
      </c>
      <c r="B149">
        <v>50892.6</v>
      </c>
    </row>
    <row r="150" spans="1:2" x14ac:dyDescent="0.2">
      <c r="A150">
        <v>15444</v>
      </c>
      <c r="B150">
        <v>46848.3</v>
      </c>
    </row>
    <row r="151" spans="1:2" x14ac:dyDescent="0.2">
      <c r="A151">
        <v>16047</v>
      </c>
      <c r="B151">
        <v>44240</v>
      </c>
    </row>
    <row r="152" spans="1:2" x14ac:dyDescent="0.2">
      <c r="A152">
        <v>16650</v>
      </c>
      <c r="B152">
        <v>40982.199999999997</v>
      </c>
    </row>
    <row r="153" spans="1:2" x14ac:dyDescent="0.2">
      <c r="A153">
        <v>17253</v>
      </c>
      <c r="B153">
        <v>37815.1</v>
      </c>
    </row>
    <row r="154" spans="1:2" x14ac:dyDescent="0.2">
      <c r="A154">
        <v>17856</v>
      </c>
      <c r="B154">
        <v>35277.4</v>
      </c>
    </row>
    <row r="155" spans="1:2" x14ac:dyDescent="0.2">
      <c r="A155">
        <v>18458</v>
      </c>
      <c r="B155">
        <v>32566.1</v>
      </c>
    </row>
    <row r="156" spans="1:2" x14ac:dyDescent="0.2">
      <c r="A156">
        <v>19061</v>
      </c>
      <c r="B156">
        <v>30471.200000000001</v>
      </c>
    </row>
    <row r="157" spans="1:2" x14ac:dyDescent="0.2">
      <c r="A157">
        <v>19664</v>
      </c>
      <c r="B157">
        <v>28220.400000000001</v>
      </c>
    </row>
    <row r="158" spans="1:2" x14ac:dyDescent="0.2">
      <c r="A158">
        <v>20267</v>
      </c>
      <c r="B158">
        <v>26171.200000000001</v>
      </c>
    </row>
    <row r="159" spans="1:2" x14ac:dyDescent="0.2">
      <c r="A159">
        <v>20869</v>
      </c>
      <c r="B159">
        <v>24194.400000000001</v>
      </c>
    </row>
    <row r="160" spans="1:2" x14ac:dyDescent="0.2">
      <c r="A160">
        <v>21472</v>
      </c>
      <c r="B160">
        <v>22955.5</v>
      </c>
    </row>
    <row r="161" spans="1:2" x14ac:dyDescent="0.2">
      <c r="A161">
        <v>22075</v>
      </c>
      <c r="B161">
        <v>21759.599999999999</v>
      </c>
    </row>
    <row r="162" spans="1:2" x14ac:dyDescent="0.2">
      <c r="A162">
        <v>22678</v>
      </c>
      <c r="B162">
        <v>20421</v>
      </c>
    </row>
    <row r="163" spans="1:2" x14ac:dyDescent="0.2">
      <c r="A163">
        <v>23281</v>
      </c>
      <c r="B163">
        <v>19342.7</v>
      </c>
    </row>
    <row r="164" spans="1:2" x14ac:dyDescent="0.2">
      <c r="A164">
        <v>23883</v>
      </c>
      <c r="B164">
        <v>17137.7</v>
      </c>
    </row>
    <row r="165" spans="1:2" x14ac:dyDescent="0.2">
      <c r="A165">
        <v>24486</v>
      </c>
      <c r="B165">
        <v>15846.5</v>
      </c>
    </row>
    <row r="166" spans="1:2" x14ac:dyDescent="0.2">
      <c r="A166">
        <v>25089</v>
      </c>
      <c r="B166">
        <v>15116.2</v>
      </c>
    </row>
    <row r="167" spans="1:2" x14ac:dyDescent="0.2">
      <c r="A167">
        <v>25692</v>
      </c>
      <c r="B167">
        <v>14321.4</v>
      </c>
    </row>
    <row r="168" spans="1:2" x14ac:dyDescent="0.2">
      <c r="A168">
        <v>26295</v>
      </c>
      <c r="B168">
        <v>13161.4</v>
      </c>
    </row>
    <row r="169" spans="1:2" x14ac:dyDescent="0.2">
      <c r="A169">
        <v>26897</v>
      </c>
      <c r="B169">
        <v>12286.8</v>
      </c>
    </row>
    <row r="170" spans="1:2" x14ac:dyDescent="0.2">
      <c r="A170">
        <v>27500</v>
      </c>
      <c r="B170">
        <v>11475.2</v>
      </c>
    </row>
    <row r="171" spans="1:2" x14ac:dyDescent="0.2">
      <c r="A171">
        <v>28103</v>
      </c>
      <c r="B171">
        <v>11065.9</v>
      </c>
    </row>
    <row r="172" spans="1:2" x14ac:dyDescent="0.2">
      <c r="A172">
        <v>28706</v>
      </c>
      <c r="B172">
        <v>10150.5</v>
      </c>
    </row>
    <row r="173" spans="1:2" x14ac:dyDescent="0.2">
      <c r="A173">
        <v>29308</v>
      </c>
      <c r="B173">
        <v>9151.2000000000007</v>
      </c>
    </row>
    <row r="174" spans="1:2" x14ac:dyDescent="0.2">
      <c r="A174">
        <v>29911</v>
      </c>
      <c r="B174">
        <v>3767.21</v>
      </c>
    </row>
    <row r="175" spans="1:2" x14ac:dyDescent="0.2">
      <c r="A175">
        <v>30514</v>
      </c>
      <c r="B175">
        <v>3620.87</v>
      </c>
    </row>
    <row r="176" spans="1:2" x14ac:dyDescent="0.2">
      <c r="A176">
        <v>31117</v>
      </c>
      <c r="B176">
        <v>3703.46</v>
      </c>
    </row>
    <row r="177" spans="1:2" x14ac:dyDescent="0.2">
      <c r="A177">
        <v>31720</v>
      </c>
      <c r="B177">
        <v>2920.46</v>
      </c>
    </row>
    <row r="178" spans="1:2" x14ac:dyDescent="0.2">
      <c r="A178">
        <v>32322</v>
      </c>
      <c r="B178">
        <v>2852.29</v>
      </c>
    </row>
    <row r="179" spans="1:2" x14ac:dyDescent="0.2">
      <c r="A179">
        <v>32925</v>
      </c>
      <c r="B179">
        <v>2930.88</v>
      </c>
    </row>
    <row r="180" spans="1:2" x14ac:dyDescent="0.2">
      <c r="A180">
        <v>33528</v>
      </c>
      <c r="B180">
        <v>2581.83</v>
      </c>
    </row>
    <row r="181" spans="1:2" x14ac:dyDescent="0.2">
      <c r="A181">
        <v>34131</v>
      </c>
      <c r="B181">
        <v>2350.15</v>
      </c>
    </row>
    <row r="182" spans="1:2" x14ac:dyDescent="0.2">
      <c r="A182">
        <v>34733</v>
      </c>
      <c r="B182">
        <v>1939.62</v>
      </c>
    </row>
    <row r="183" spans="1:2" x14ac:dyDescent="0.2">
      <c r="A183">
        <v>35336</v>
      </c>
      <c r="B183">
        <v>1768.16</v>
      </c>
    </row>
    <row r="184" spans="1:2" x14ac:dyDescent="0.2">
      <c r="A184">
        <v>35939</v>
      </c>
      <c r="B184">
        <v>1619.75</v>
      </c>
    </row>
    <row r="185" spans="1:2" x14ac:dyDescent="0.2">
      <c r="A185">
        <v>36542</v>
      </c>
      <c r="B185">
        <v>1467.81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4461-8ECF-854A-8649-9403C6533544}">
  <dimension ref="A1:N113"/>
  <sheetViews>
    <sheetView workbookViewId="0">
      <selection activeCell="I1" sqref="I1"/>
    </sheetView>
  </sheetViews>
  <sheetFormatPr baseColWidth="10" defaultRowHeight="16" x14ac:dyDescent="0.2"/>
  <sheetData>
    <row r="1" spans="1:14" x14ac:dyDescent="0.2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L1" t="s">
        <v>93</v>
      </c>
      <c r="M1" t="s">
        <v>94</v>
      </c>
      <c r="N1" t="s">
        <v>95</v>
      </c>
    </row>
    <row r="2" spans="1:14" x14ac:dyDescent="0.2">
      <c r="A2">
        <v>483</v>
      </c>
      <c r="B2">
        <v>8.8681999999999999</v>
      </c>
      <c r="C2">
        <v>56.713200000000001</v>
      </c>
      <c r="D2">
        <v>107.682</v>
      </c>
      <c r="E2">
        <v>8011.13</v>
      </c>
      <c r="F2">
        <v>1.2146699999999999</v>
      </c>
      <c r="G2">
        <v>35.942799999999998</v>
      </c>
      <c r="H2">
        <v>40.122799999999998</v>
      </c>
      <c r="I2">
        <v>5688.82</v>
      </c>
      <c r="J2">
        <v>26.108599999999999</v>
      </c>
      <c r="L2">
        <f>SUM(B2:J2)</f>
        <v>13976.602269999999</v>
      </c>
      <c r="M2">
        <f>E2/L2</f>
        <v>0.57318151044445509</v>
      </c>
      <c r="N2">
        <f>I2/L2</f>
        <v>0.40702453215047379</v>
      </c>
    </row>
    <row r="3" spans="1:14" x14ac:dyDescent="0.2">
      <c r="A3">
        <v>635</v>
      </c>
      <c r="B3">
        <v>17.0913</v>
      </c>
      <c r="C3">
        <v>49.041699999999999</v>
      </c>
      <c r="D3">
        <v>131.76599999999999</v>
      </c>
      <c r="E3">
        <v>7955.31</v>
      </c>
      <c r="F3">
        <v>-2.1979799999999998</v>
      </c>
      <c r="G3">
        <v>37.719099999999997</v>
      </c>
      <c r="H3">
        <v>44.655299999999997</v>
      </c>
      <c r="I3">
        <v>5630.42</v>
      </c>
      <c r="J3">
        <v>38.625999999999998</v>
      </c>
      <c r="L3">
        <f t="shared" ref="L3:L66" si="0">SUM(B3:J3)</f>
        <v>13902.431420000001</v>
      </c>
      <c r="M3">
        <f t="shared" ref="M3:M37" si="1">E3/L3</f>
        <v>0.57222436562826795</v>
      </c>
      <c r="N3">
        <f t="shared" ref="N3:N37" si="2">I3/L3</f>
        <v>0.40499534433236567</v>
      </c>
    </row>
    <row r="4" spans="1:14" x14ac:dyDescent="0.2">
      <c r="A4">
        <v>787</v>
      </c>
      <c r="B4">
        <v>14.5318</v>
      </c>
      <c r="C4">
        <v>68.565600000000003</v>
      </c>
      <c r="D4">
        <v>178.054</v>
      </c>
      <c r="E4">
        <v>7921.09</v>
      </c>
      <c r="F4">
        <v>-0.84890299999999996</v>
      </c>
      <c r="G4">
        <v>51.003999999999998</v>
      </c>
      <c r="H4">
        <v>45.384599999999999</v>
      </c>
      <c r="I4">
        <v>5570.5</v>
      </c>
      <c r="J4">
        <v>36.895400000000002</v>
      </c>
      <c r="L4">
        <f t="shared" si="0"/>
        <v>13885.176496999999</v>
      </c>
      <c r="M4">
        <f t="shared" si="1"/>
        <v>0.57047096244771633</v>
      </c>
      <c r="N4">
        <f t="shared" si="2"/>
        <v>0.40118323315541221</v>
      </c>
    </row>
    <row r="5" spans="1:14" x14ac:dyDescent="0.2">
      <c r="A5">
        <v>939</v>
      </c>
      <c r="B5">
        <v>22.460699999999999</v>
      </c>
      <c r="C5">
        <v>60.797400000000003</v>
      </c>
      <c r="D5">
        <v>190.89500000000001</v>
      </c>
      <c r="E5">
        <v>7909.24</v>
      </c>
      <c r="F5">
        <v>-4.0606200000000001</v>
      </c>
      <c r="G5">
        <v>50.3581</v>
      </c>
      <c r="H5">
        <v>59.3752</v>
      </c>
      <c r="I5">
        <v>5598.46</v>
      </c>
      <c r="J5">
        <v>47.270699999999998</v>
      </c>
      <c r="L5">
        <f t="shared" si="0"/>
        <v>13934.796479999999</v>
      </c>
      <c r="M5">
        <f t="shared" si="1"/>
        <v>0.56758920098702437</v>
      </c>
      <c r="N5">
        <f t="shared" si="2"/>
        <v>0.40176116013141805</v>
      </c>
    </row>
    <row r="6" spans="1:14" x14ac:dyDescent="0.2">
      <c r="A6">
        <v>1090</v>
      </c>
      <c r="B6">
        <v>21.537400000000002</v>
      </c>
      <c r="C6">
        <v>58.477200000000003</v>
      </c>
      <c r="D6">
        <v>209.929</v>
      </c>
      <c r="E6">
        <v>7905.67</v>
      </c>
      <c r="F6">
        <v>5.2260799999999996</v>
      </c>
      <c r="G6">
        <v>50.584600000000002</v>
      </c>
      <c r="H6">
        <v>47.748199999999997</v>
      </c>
      <c r="I6">
        <v>5564.93</v>
      </c>
      <c r="J6">
        <v>37.874200000000002</v>
      </c>
      <c r="L6">
        <f t="shared" si="0"/>
        <v>13901.976680000002</v>
      </c>
      <c r="M6">
        <f t="shared" si="1"/>
        <v>0.5686723681081588</v>
      </c>
      <c r="N6">
        <f t="shared" si="2"/>
        <v>0.4002977510389551</v>
      </c>
    </row>
    <row r="7" spans="1:14" x14ac:dyDescent="0.2">
      <c r="A7">
        <v>1242</v>
      </c>
      <c r="B7">
        <v>29.988</v>
      </c>
      <c r="C7">
        <v>72.262600000000006</v>
      </c>
      <c r="D7">
        <v>232.91200000000001</v>
      </c>
      <c r="E7">
        <v>7905.97</v>
      </c>
      <c r="F7">
        <v>8.4904299999999999</v>
      </c>
      <c r="G7">
        <v>53.588299999999997</v>
      </c>
      <c r="H7">
        <v>52.388800000000003</v>
      </c>
      <c r="I7">
        <v>5516.25</v>
      </c>
      <c r="J7">
        <v>43.294499999999999</v>
      </c>
      <c r="L7">
        <f t="shared" si="0"/>
        <v>13915.144630000001</v>
      </c>
      <c r="M7">
        <f t="shared" si="1"/>
        <v>0.56815579070269429</v>
      </c>
      <c r="N7">
        <f t="shared" si="2"/>
        <v>0.39642060119931355</v>
      </c>
    </row>
    <row r="8" spans="1:14" x14ac:dyDescent="0.2">
      <c r="A8">
        <v>1394</v>
      </c>
      <c r="B8">
        <v>36.932400000000001</v>
      </c>
      <c r="C8">
        <v>68.607699999999994</v>
      </c>
      <c r="D8">
        <v>243.63200000000001</v>
      </c>
      <c r="E8">
        <v>7924.23</v>
      </c>
      <c r="F8">
        <v>-2.4756800000000001</v>
      </c>
      <c r="G8">
        <v>50.104700000000001</v>
      </c>
      <c r="H8">
        <v>51.9482</v>
      </c>
      <c r="I8">
        <v>5509.74</v>
      </c>
      <c r="J8">
        <v>36.739699999999999</v>
      </c>
      <c r="L8">
        <f t="shared" si="0"/>
        <v>13919.45902</v>
      </c>
      <c r="M8">
        <f t="shared" si="1"/>
        <v>0.56929152121603066</v>
      </c>
      <c r="N8">
        <f t="shared" si="2"/>
        <v>0.3958300385153905</v>
      </c>
    </row>
    <row r="9" spans="1:14" x14ac:dyDescent="0.2">
      <c r="A9">
        <v>1546</v>
      </c>
      <c r="B9">
        <v>36.862400000000001</v>
      </c>
      <c r="C9">
        <v>59.577199999999998</v>
      </c>
      <c r="D9">
        <v>262.04500000000002</v>
      </c>
      <c r="E9">
        <v>7902.06</v>
      </c>
      <c r="F9">
        <v>8.6670300000000005</v>
      </c>
      <c r="G9">
        <v>56.171599999999998</v>
      </c>
      <c r="H9">
        <v>35.158299999999997</v>
      </c>
      <c r="I9">
        <v>5464.7</v>
      </c>
      <c r="J9">
        <v>37.935299999999998</v>
      </c>
      <c r="L9">
        <f t="shared" si="0"/>
        <v>13863.176829999999</v>
      </c>
      <c r="M9">
        <f t="shared" si="1"/>
        <v>0.57000354946781717</v>
      </c>
      <c r="N9">
        <f t="shared" si="2"/>
        <v>0.39418814799897495</v>
      </c>
    </row>
    <row r="10" spans="1:14" x14ac:dyDescent="0.2">
      <c r="A10">
        <v>1698</v>
      </c>
      <c r="B10">
        <v>22.202000000000002</v>
      </c>
      <c r="C10">
        <v>72.234399999999994</v>
      </c>
      <c r="D10">
        <v>268.31099999999998</v>
      </c>
      <c r="E10">
        <v>7843.79</v>
      </c>
      <c r="F10">
        <v>7.96922</v>
      </c>
      <c r="G10">
        <v>57.113700000000001</v>
      </c>
      <c r="H10">
        <v>31.060300000000002</v>
      </c>
      <c r="I10">
        <v>5431.49</v>
      </c>
      <c r="J10">
        <v>42.349699999999999</v>
      </c>
      <c r="L10">
        <f t="shared" si="0"/>
        <v>13776.52032</v>
      </c>
      <c r="M10">
        <f t="shared" si="1"/>
        <v>0.56935930248023614</v>
      </c>
      <c r="N10">
        <f t="shared" si="2"/>
        <v>0.3942570310817064</v>
      </c>
    </row>
    <row r="11" spans="1:14" x14ac:dyDescent="0.2">
      <c r="A11">
        <v>1850</v>
      </c>
      <c r="B11">
        <v>22.6191</v>
      </c>
      <c r="C11">
        <v>63.097700000000003</v>
      </c>
      <c r="D11">
        <v>290.54399999999998</v>
      </c>
      <c r="E11">
        <v>7886.43</v>
      </c>
      <c r="F11">
        <v>-10.988300000000001</v>
      </c>
      <c r="G11">
        <v>43.585999999999999</v>
      </c>
      <c r="H11">
        <v>40.154299999999999</v>
      </c>
      <c r="I11">
        <v>5464.11</v>
      </c>
      <c r="J11">
        <v>43.963500000000003</v>
      </c>
      <c r="L11">
        <f t="shared" si="0"/>
        <v>13843.516299999997</v>
      </c>
      <c r="M11">
        <f t="shared" si="1"/>
        <v>0.56968401879224873</v>
      </c>
      <c r="N11">
        <f t="shared" si="2"/>
        <v>0.39470535387024469</v>
      </c>
    </row>
    <row r="12" spans="1:14" x14ac:dyDescent="0.2">
      <c r="A12">
        <v>2002</v>
      </c>
      <c r="B12">
        <v>40.703200000000002</v>
      </c>
      <c r="C12">
        <v>69.424300000000002</v>
      </c>
      <c r="D12">
        <v>300.72899999999998</v>
      </c>
      <c r="E12">
        <v>7875.18</v>
      </c>
      <c r="F12">
        <v>16.164000000000001</v>
      </c>
      <c r="G12">
        <v>65.821100000000001</v>
      </c>
      <c r="H12">
        <v>46.101300000000002</v>
      </c>
      <c r="I12">
        <v>5445.09</v>
      </c>
      <c r="J12">
        <v>43.017200000000003</v>
      </c>
      <c r="L12">
        <f t="shared" si="0"/>
        <v>13902.230100000001</v>
      </c>
      <c r="M12">
        <f t="shared" si="1"/>
        <v>0.56646882862340198</v>
      </c>
      <c r="N12">
        <f t="shared" si="2"/>
        <v>0.39167025440040731</v>
      </c>
    </row>
    <row r="13" spans="1:14" x14ac:dyDescent="0.2">
      <c r="A13">
        <v>2153</v>
      </c>
      <c r="B13">
        <v>25.598600000000001</v>
      </c>
      <c r="C13">
        <v>60.750999999999998</v>
      </c>
      <c r="D13">
        <v>302.53399999999999</v>
      </c>
      <c r="E13">
        <v>7853.85</v>
      </c>
      <c r="F13">
        <v>11.3078</v>
      </c>
      <c r="G13">
        <v>56.020600000000002</v>
      </c>
      <c r="H13">
        <v>48.980800000000002</v>
      </c>
      <c r="I13">
        <v>5405.39</v>
      </c>
      <c r="J13">
        <v>40.7575</v>
      </c>
      <c r="L13">
        <f t="shared" si="0"/>
        <v>13805.190299999998</v>
      </c>
      <c r="M13">
        <f t="shared" si="1"/>
        <v>0.56890559487615333</v>
      </c>
      <c r="N13">
        <f t="shared" si="2"/>
        <v>0.39154766305539451</v>
      </c>
    </row>
    <row r="14" spans="1:14" x14ac:dyDescent="0.2">
      <c r="A14">
        <v>2305</v>
      </c>
      <c r="B14">
        <v>45.789200000000001</v>
      </c>
      <c r="C14">
        <v>73.510099999999994</v>
      </c>
      <c r="D14">
        <v>315.334</v>
      </c>
      <c r="E14">
        <v>7845.3</v>
      </c>
      <c r="F14">
        <v>11.4947</v>
      </c>
      <c r="G14">
        <v>56.881300000000003</v>
      </c>
      <c r="H14">
        <v>42.609499999999997</v>
      </c>
      <c r="I14">
        <v>5377.28</v>
      </c>
      <c r="J14">
        <v>46.9786</v>
      </c>
      <c r="L14">
        <f t="shared" si="0"/>
        <v>13815.177399999999</v>
      </c>
      <c r="M14">
        <f t="shared" si="1"/>
        <v>0.56787544400262291</v>
      </c>
      <c r="N14">
        <f t="shared" si="2"/>
        <v>0.38922989146704695</v>
      </c>
    </row>
    <row r="15" spans="1:14" x14ac:dyDescent="0.2">
      <c r="A15">
        <v>2457</v>
      </c>
      <c r="B15">
        <v>34.988799999999998</v>
      </c>
      <c r="C15">
        <v>65.050600000000003</v>
      </c>
      <c r="D15">
        <v>326.65600000000001</v>
      </c>
      <c r="E15">
        <v>7803.52</v>
      </c>
      <c r="F15">
        <v>17.2349</v>
      </c>
      <c r="G15">
        <v>45.801000000000002</v>
      </c>
      <c r="H15">
        <v>43.113999999999997</v>
      </c>
      <c r="I15">
        <v>5391.51</v>
      </c>
      <c r="J15">
        <v>50.3078</v>
      </c>
      <c r="L15">
        <f t="shared" si="0"/>
        <v>13778.1831</v>
      </c>
      <c r="M15">
        <f t="shared" si="1"/>
        <v>0.56636785440890247</v>
      </c>
      <c r="N15">
        <f t="shared" si="2"/>
        <v>0.39130776248720345</v>
      </c>
    </row>
    <row r="16" spans="1:14" x14ac:dyDescent="0.2">
      <c r="A16">
        <v>2609</v>
      </c>
      <c r="B16">
        <v>31.2685</v>
      </c>
      <c r="C16">
        <v>69.783000000000001</v>
      </c>
      <c r="D16">
        <v>327.303</v>
      </c>
      <c r="E16">
        <v>7819.45</v>
      </c>
      <c r="F16">
        <v>17.498799999999999</v>
      </c>
      <c r="G16">
        <v>67.036900000000003</v>
      </c>
      <c r="H16">
        <v>58.257899999999999</v>
      </c>
      <c r="I16">
        <v>5427.39</v>
      </c>
      <c r="J16">
        <v>33.162399999999998</v>
      </c>
      <c r="L16">
        <f t="shared" si="0"/>
        <v>13851.150499999998</v>
      </c>
      <c r="M16">
        <f t="shared" si="1"/>
        <v>0.56453433236466533</v>
      </c>
      <c r="N16">
        <f t="shared" si="2"/>
        <v>0.39183676475105811</v>
      </c>
    </row>
    <row r="17" spans="1:14" x14ac:dyDescent="0.2">
      <c r="A17">
        <v>2761</v>
      </c>
      <c r="B17">
        <v>40.267899999999997</v>
      </c>
      <c r="C17">
        <v>73.903700000000001</v>
      </c>
      <c r="D17">
        <v>333.79599999999999</v>
      </c>
      <c r="E17">
        <v>7813.36</v>
      </c>
      <c r="F17">
        <v>17.040400000000002</v>
      </c>
      <c r="G17">
        <v>57.152000000000001</v>
      </c>
      <c r="H17">
        <v>42.179900000000004</v>
      </c>
      <c r="I17">
        <v>5393.45</v>
      </c>
      <c r="J17">
        <v>41.575499999999998</v>
      </c>
      <c r="L17">
        <f t="shared" si="0"/>
        <v>13812.725400000001</v>
      </c>
      <c r="M17">
        <f t="shared" si="1"/>
        <v>0.56566389135629958</v>
      </c>
      <c r="N17">
        <f t="shared" si="2"/>
        <v>0.39046964620030739</v>
      </c>
    </row>
    <row r="18" spans="1:14" x14ac:dyDescent="0.2">
      <c r="A18">
        <v>2913</v>
      </c>
      <c r="B18">
        <v>36.261299999999999</v>
      </c>
      <c r="C18">
        <v>76.970200000000006</v>
      </c>
      <c r="D18">
        <v>330.267</v>
      </c>
      <c r="E18">
        <v>7728.31</v>
      </c>
      <c r="F18">
        <v>3.2116400000000001</v>
      </c>
      <c r="G18">
        <v>47.362900000000003</v>
      </c>
      <c r="H18">
        <v>38.0456</v>
      </c>
      <c r="I18">
        <v>5329.21</v>
      </c>
      <c r="J18">
        <v>39.827300000000001</v>
      </c>
      <c r="L18">
        <f t="shared" si="0"/>
        <v>13629.465940000002</v>
      </c>
      <c r="M18">
        <f t="shared" si="1"/>
        <v>0.56702955449771641</v>
      </c>
      <c r="N18">
        <f t="shared" si="2"/>
        <v>0.39100651657668689</v>
      </c>
    </row>
    <row r="19" spans="1:14" x14ac:dyDescent="0.2">
      <c r="A19">
        <v>3065</v>
      </c>
      <c r="B19">
        <v>32.832500000000003</v>
      </c>
      <c r="C19">
        <v>71.933300000000003</v>
      </c>
      <c r="D19">
        <v>342.86399999999998</v>
      </c>
      <c r="E19">
        <v>7839.69</v>
      </c>
      <c r="F19">
        <v>4.9144899999999998</v>
      </c>
      <c r="G19">
        <v>47.592300000000002</v>
      </c>
      <c r="H19">
        <v>40.552399999999999</v>
      </c>
      <c r="I19">
        <v>5399.86</v>
      </c>
      <c r="J19">
        <v>40.993899999999996</v>
      </c>
      <c r="L19">
        <f t="shared" si="0"/>
        <v>13821.232889999997</v>
      </c>
      <c r="M19">
        <f t="shared" si="1"/>
        <v>0.56722074379284992</v>
      </c>
      <c r="N19">
        <f t="shared" si="2"/>
        <v>0.39069307658558677</v>
      </c>
    </row>
    <row r="20" spans="1:14" x14ac:dyDescent="0.2">
      <c r="A20">
        <v>3216</v>
      </c>
      <c r="B20">
        <v>50.509099999999997</v>
      </c>
      <c r="C20">
        <v>75.562600000000003</v>
      </c>
      <c r="D20">
        <v>350.70299999999997</v>
      </c>
      <c r="E20">
        <v>7938.42</v>
      </c>
      <c r="F20">
        <v>16.3673</v>
      </c>
      <c r="G20">
        <v>63.379300000000001</v>
      </c>
      <c r="H20">
        <v>33.504199999999997</v>
      </c>
      <c r="I20">
        <v>5409.35</v>
      </c>
      <c r="J20">
        <v>37.203600000000002</v>
      </c>
      <c r="L20">
        <f t="shared" si="0"/>
        <v>13974.999100000001</v>
      </c>
      <c r="M20">
        <f t="shared" si="1"/>
        <v>0.56804440151985414</v>
      </c>
      <c r="N20">
        <f t="shared" si="2"/>
        <v>0.38707337018719379</v>
      </c>
    </row>
    <row r="21" spans="1:14" x14ac:dyDescent="0.2">
      <c r="A21">
        <v>3368</v>
      </c>
      <c r="B21">
        <v>44.162100000000002</v>
      </c>
      <c r="C21">
        <v>76.145700000000005</v>
      </c>
      <c r="D21">
        <v>350.44200000000001</v>
      </c>
      <c r="E21">
        <v>7910.83</v>
      </c>
      <c r="F21">
        <v>19.560600000000001</v>
      </c>
      <c r="G21">
        <v>59.826500000000003</v>
      </c>
      <c r="H21">
        <v>43.933999999999997</v>
      </c>
      <c r="I21">
        <v>5420.37</v>
      </c>
      <c r="J21">
        <v>40.536999999999999</v>
      </c>
      <c r="L21">
        <f t="shared" si="0"/>
        <v>13965.8079</v>
      </c>
      <c r="M21">
        <f t="shared" si="1"/>
        <v>0.56644270468592084</v>
      </c>
      <c r="N21">
        <f t="shared" si="2"/>
        <v>0.38811718153448177</v>
      </c>
    </row>
    <row r="22" spans="1:14" x14ac:dyDescent="0.2">
      <c r="A22">
        <v>3520</v>
      </c>
      <c r="B22">
        <v>40.4236</v>
      </c>
      <c r="C22">
        <v>85.040300000000002</v>
      </c>
      <c r="D22">
        <v>355.23399999999998</v>
      </c>
      <c r="E22">
        <v>7929.77</v>
      </c>
      <c r="F22">
        <v>10.113799999999999</v>
      </c>
      <c r="G22">
        <v>53.923999999999999</v>
      </c>
      <c r="H22">
        <v>21.597100000000001</v>
      </c>
      <c r="I22">
        <v>5418.72</v>
      </c>
      <c r="J22">
        <v>41.669899999999998</v>
      </c>
      <c r="L22">
        <f t="shared" si="0"/>
        <v>13956.492700000003</v>
      </c>
      <c r="M22">
        <f t="shared" si="1"/>
        <v>0.56817784886599765</v>
      </c>
      <c r="N22">
        <f t="shared" si="2"/>
        <v>0.38825800410442657</v>
      </c>
    </row>
    <row r="23" spans="1:14" x14ac:dyDescent="0.2">
      <c r="A23">
        <v>3672</v>
      </c>
      <c r="B23">
        <v>51.358699999999999</v>
      </c>
      <c r="C23">
        <v>73.3035</v>
      </c>
      <c r="D23">
        <v>369.71</v>
      </c>
      <c r="E23">
        <v>7939.11</v>
      </c>
      <c r="F23">
        <v>16.735499999999998</v>
      </c>
      <c r="G23">
        <v>66.050799999999995</v>
      </c>
      <c r="H23">
        <v>47.376399999999997</v>
      </c>
      <c r="I23">
        <v>5424.16</v>
      </c>
      <c r="J23">
        <v>40.1509</v>
      </c>
      <c r="L23">
        <f t="shared" si="0"/>
        <v>14027.955800000002</v>
      </c>
      <c r="M23">
        <f t="shared" si="1"/>
        <v>0.56594917414838153</v>
      </c>
      <c r="N23">
        <f t="shared" si="2"/>
        <v>0.3866678849957596</v>
      </c>
    </row>
    <row r="24" spans="1:14" x14ac:dyDescent="0.2">
      <c r="A24">
        <v>3824</v>
      </c>
      <c r="B24">
        <v>45.063000000000002</v>
      </c>
      <c r="C24">
        <v>74.909700000000001</v>
      </c>
      <c r="D24">
        <v>362.233</v>
      </c>
      <c r="E24">
        <v>7916.53</v>
      </c>
      <c r="F24">
        <v>20.1892</v>
      </c>
      <c r="G24">
        <v>60.250399999999999</v>
      </c>
      <c r="H24">
        <v>33.768300000000004</v>
      </c>
      <c r="I24">
        <v>5381.65</v>
      </c>
      <c r="J24">
        <v>31.605499999999999</v>
      </c>
      <c r="L24">
        <f t="shared" si="0"/>
        <v>13926.1991</v>
      </c>
      <c r="M24">
        <f t="shared" si="1"/>
        <v>0.56846307762467652</v>
      </c>
      <c r="N24">
        <f t="shared" si="2"/>
        <v>0.38644069076967308</v>
      </c>
    </row>
    <row r="25" spans="1:14" x14ac:dyDescent="0.2">
      <c r="A25">
        <v>3976</v>
      </c>
      <c r="B25">
        <v>49.248800000000003</v>
      </c>
      <c r="C25">
        <v>70.297899999999998</v>
      </c>
      <c r="D25">
        <v>374.67099999999999</v>
      </c>
      <c r="E25">
        <v>7902.94</v>
      </c>
      <c r="F25">
        <v>11.633900000000001</v>
      </c>
      <c r="G25">
        <v>49.500799999999998</v>
      </c>
      <c r="H25">
        <v>46.714799999999997</v>
      </c>
      <c r="I25">
        <v>5425.81</v>
      </c>
      <c r="J25">
        <v>48.642600000000002</v>
      </c>
      <c r="L25">
        <f t="shared" si="0"/>
        <v>13979.459800000001</v>
      </c>
      <c r="M25">
        <f t="shared" si="1"/>
        <v>0.56532513509570659</v>
      </c>
      <c r="N25">
        <f t="shared" si="2"/>
        <v>0.388127300884688</v>
      </c>
    </row>
    <row r="26" spans="1:14" x14ac:dyDescent="0.2">
      <c r="A26">
        <v>4127</v>
      </c>
      <c r="B26">
        <v>53.514400000000002</v>
      </c>
      <c r="C26">
        <v>66.593400000000003</v>
      </c>
      <c r="D26">
        <v>363.33199999999999</v>
      </c>
      <c r="E26">
        <v>7893.17</v>
      </c>
      <c r="F26">
        <v>2.0554800000000002</v>
      </c>
      <c r="G26">
        <v>52.354599999999998</v>
      </c>
      <c r="H26">
        <v>46.333100000000002</v>
      </c>
      <c r="I26">
        <v>5394.83</v>
      </c>
      <c r="J26">
        <v>39.773299999999999</v>
      </c>
      <c r="L26">
        <f t="shared" si="0"/>
        <v>13911.956280000002</v>
      </c>
      <c r="M26">
        <f t="shared" si="1"/>
        <v>0.56736592907119165</v>
      </c>
      <c r="N26">
        <f t="shared" si="2"/>
        <v>0.38778370858997546</v>
      </c>
    </row>
    <row r="27" spans="1:14" x14ac:dyDescent="0.2">
      <c r="A27">
        <v>4279</v>
      </c>
      <c r="B27">
        <v>35.512500000000003</v>
      </c>
      <c r="C27">
        <v>73.405799999999999</v>
      </c>
      <c r="D27">
        <v>368.37099999999998</v>
      </c>
      <c r="E27">
        <v>7932.42</v>
      </c>
      <c r="F27">
        <v>8.2743699999999993</v>
      </c>
      <c r="G27">
        <v>68.493799999999993</v>
      </c>
      <c r="H27">
        <v>49.365000000000002</v>
      </c>
      <c r="I27">
        <v>5388.63</v>
      </c>
      <c r="J27">
        <v>41.409700000000001</v>
      </c>
      <c r="L27">
        <f t="shared" si="0"/>
        <v>13965.882170000001</v>
      </c>
      <c r="M27">
        <f t="shared" si="1"/>
        <v>0.56798560258796738</v>
      </c>
      <c r="N27">
        <f t="shared" si="2"/>
        <v>0.38584243618890562</v>
      </c>
    </row>
    <row r="28" spans="1:14" x14ac:dyDescent="0.2">
      <c r="A28">
        <v>4431</v>
      </c>
      <c r="B28">
        <v>43.131599999999999</v>
      </c>
      <c r="C28">
        <v>79.374899999999997</v>
      </c>
      <c r="D28">
        <v>372.69099999999997</v>
      </c>
      <c r="E28">
        <v>7878.88</v>
      </c>
      <c r="F28">
        <v>25.247499999999999</v>
      </c>
      <c r="G28">
        <v>63.676600000000001</v>
      </c>
      <c r="H28">
        <v>37.971699999999998</v>
      </c>
      <c r="I28">
        <v>5386.07</v>
      </c>
      <c r="J28">
        <v>37.294600000000003</v>
      </c>
      <c r="L28">
        <f t="shared" si="0"/>
        <v>13924.337899999999</v>
      </c>
      <c r="M28">
        <f t="shared" si="1"/>
        <v>0.56583516261839639</v>
      </c>
      <c r="N28">
        <f t="shared" si="2"/>
        <v>0.38680977427300156</v>
      </c>
    </row>
    <row r="29" spans="1:14" x14ac:dyDescent="0.2">
      <c r="A29">
        <v>4583</v>
      </c>
      <c r="B29">
        <v>53.590600000000002</v>
      </c>
      <c r="C29">
        <v>64.287099999999995</v>
      </c>
      <c r="D29">
        <v>362.14699999999999</v>
      </c>
      <c r="E29">
        <v>7892.76</v>
      </c>
      <c r="F29">
        <v>14.813000000000001</v>
      </c>
      <c r="G29">
        <v>52.802999999999997</v>
      </c>
      <c r="H29">
        <v>55.136800000000001</v>
      </c>
      <c r="I29">
        <v>5400.46</v>
      </c>
      <c r="J29">
        <v>48.378500000000003</v>
      </c>
      <c r="L29">
        <f t="shared" si="0"/>
        <v>13944.376000000002</v>
      </c>
      <c r="M29">
        <f t="shared" si="1"/>
        <v>0.56601743957563966</v>
      </c>
      <c r="N29">
        <f t="shared" si="2"/>
        <v>0.38728588500482197</v>
      </c>
    </row>
    <row r="30" spans="1:14" x14ac:dyDescent="0.2">
      <c r="A30">
        <v>4735</v>
      </c>
      <c r="B30">
        <v>46.7376</v>
      </c>
      <c r="C30">
        <v>62.773200000000003</v>
      </c>
      <c r="D30">
        <v>378.09100000000001</v>
      </c>
      <c r="E30">
        <v>7937.71</v>
      </c>
      <c r="F30">
        <v>27.172899999999998</v>
      </c>
      <c r="G30">
        <v>65.727400000000003</v>
      </c>
      <c r="H30">
        <v>47.705800000000004</v>
      </c>
      <c r="I30">
        <v>5413.65</v>
      </c>
      <c r="J30">
        <v>48.033799999999999</v>
      </c>
      <c r="L30">
        <f t="shared" si="0"/>
        <v>14027.601699999997</v>
      </c>
      <c r="M30">
        <f t="shared" si="1"/>
        <v>0.56586365722089194</v>
      </c>
      <c r="N30">
        <f t="shared" si="2"/>
        <v>0.38592840856038851</v>
      </c>
    </row>
    <row r="31" spans="1:14" x14ac:dyDescent="0.2">
      <c r="A31">
        <v>4887</v>
      </c>
      <c r="B31">
        <v>36.587699999999998</v>
      </c>
      <c r="C31">
        <v>68.174899999999994</v>
      </c>
      <c r="D31">
        <v>389.32400000000001</v>
      </c>
      <c r="E31">
        <v>7883.07</v>
      </c>
      <c r="F31">
        <v>19.190300000000001</v>
      </c>
      <c r="G31">
        <v>67.001499999999993</v>
      </c>
      <c r="H31">
        <v>48.501300000000001</v>
      </c>
      <c r="I31">
        <v>5386.74</v>
      </c>
      <c r="J31">
        <v>47.220599999999997</v>
      </c>
      <c r="L31">
        <f t="shared" si="0"/>
        <v>13945.810300000001</v>
      </c>
      <c r="M31">
        <f t="shared" si="1"/>
        <v>0.56526439342144208</v>
      </c>
      <c r="N31">
        <f t="shared" si="2"/>
        <v>0.3862622453712854</v>
      </c>
    </row>
    <row r="32" spans="1:14" x14ac:dyDescent="0.2">
      <c r="A32">
        <v>5039</v>
      </c>
      <c r="B32">
        <v>30.582699999999999</v>
      </c>
      <c r="C32">
        <v>83.896699999999996</v>
      </c>
      <c r="D32">
        <v>376.822</v>
      </c>
      <c r="E32">
        <v>7895.65</v>
      </c>
      <c r="F32">
        <v>14.7841</v>
      </c>
      <c r="G32">
        <v>61.2577</v>
      </c>
      <c r="H32">
        <v>45.317900000000002</v>
      </c>
      <c r="I32">
        <v>5381.08</v>
      </c>
      <c r="J32">
        <v>38.319800000000001</v>
      </c>
      <c r="L32">
        <f t="shared" si="0"/>
        <v>13927.7109</v>
      </c>
      <c r="M32">
        <f t="shared" si="1"/>
        <v>0.56690220357747367</v>
      </c>
      <c r="N32">
        <f t="shared" si="2"/>
        <v>0.3863578184983722</v>
      </c>
    </row>
    <row r="33" spans="1:14" x14ac:dyDescent="0.2">
      <c r="A33">
        <v>5190</v>
      </c>
      <c r="B33">
        <v>53.884900000000002</v>
      </c>
      <c r="C33">
        <v>85.867999999999995</v>
      </c>
      <c r="D33">
        <v>377.608</v>
      </c>
      <c r="E33">
        <v>7916.78</v>
      </c>
      <c r="F33">
        <v>25.6386</v>
      </c>
      <c r="G33">
        <v>69.3566</v>
      </c>
      <c r="H33">
        <v>53.9724</v>
      </c>
      <c r="I33">
        <v>5432.41</v>
      </c>
      <c r="J33">
        <v>35.020299999999999</v>
      </c>
      <c r="L33">
        <f t="shared" si="0"/>
        <v>14050.5388</v>
      </c>
      <c r="M33">
        <f t="shared" si="1"/>
        <v>0.56345027850462215</v>
      </c>
      <c r="N33">
        <f t="shared" si="2"/>
        <v>0.3866335716606113</v>
      </c>
    </row>
    <row r="34" spans="1:14" x14ac:dyDescent="0.2">
      <c r="A34">
        <v>5342</v>
      </c>
      <c r="B34">
        <v>50.805100000000003</v>
      </c>
      <c r="C34">
        <v>80.990600000000001</v>
      </c>
      <c r="D34">
        <v>383.39299999999997</v>
      </c>
      <c r="E34">
        <v>7893.46</v>
      </c>
      <c r="F34">
        <v>2.4058000000000002</v>
      </c>
      <c r="G34">
        <v>68.884799999999998</v>
      </c>
      <c r="H34">
        <v>64.401200000000003</v>
      </c>
      <c r="I34">
        <v>5386.23</v>
      </c>
      <c r="J34">
        <v>42.379300000000001</v>
      </c>
      <c r="L34">
        <f t="shared" si="0"/>
        <v>13972.9498</v>
      </c>
      <c r="M34">
        <f t="shared" si="1"/>
        <v>0.56491006644853181</v>
      </c>
      <c r="N34">
        <f t="shared" si="2"/>
        <v>0.3854755135526215</v>
      </c>
    </row>
    <row r="35" spans="1:14" x14ac:dyDescent="0.2">
      <c r="A35">
        <v>5494</v>
      </c>
      <c r="B35">
        <v>51.765999999999998</v>
      </c>
      <c r="C35">
        <v>70.790700000000001</v>
      </c>
      <c r="D35">
        <v>373.45</v>
      </c>
      <c r="E35">
        <v>7914.47</v>
      </c>
      <c r="F35">
        <v>15.7942</v>
      </c>
      <c r="G35">
        <v>60.463799999999999</v>
      </c>
      <c r="H35">
        <v>34.602800000000002</v>
      </c>
      <c r="I35">
        <v>5396.05</v>
      </c>
      <c r="J35">
        <v>39.117699999999999</v>
      </c>
      <c r="L35">
        <f t="shared" si="0"/>
        <v>13956.505200000001</v>
      </c>
      <c r="M35">
        <f t="shared" si="1"/>
        <v>0.56708107700199895</v>
      </c>
      <c r="N35">
        <f t="shared" si="2"/>
        <v>0.38663332422216984</v>
      </c>
    </row>
    <row r="36" spans="1:14" x14ac:dyDescent="0.2">
      <c r="A36">
        <v>5646</v>
      </c>
      <c r="B36">
        <v>46.119599999999998</v>
      </c>
      <c r="C36">
        <v>75.425299999999993</v>
      </c>
      <c r="D36">
        <v>374.18</v>
      </c>
      <c r="E36">
        <v>7922.33</v>
      </c>
      <c r="F36">
        <v>16.5075</v>
      </c>
      <c r="G36">
        <v>69.857600000000005</v>
      </c>
      <c r="H36">
        <v>44.543399999999998</v>
      </c>
      <c r="I36">
        <v>5409.87</v>
      </c>
      <c r="J36">
        <v>41.211599999999997</v>
      </c>
      <c r="L36">
        <f t="shared" si="0"/>
        <v>14000.045</v>
      </c>
      <c r="M36">
        <f t="shared" si="1"/>
        <v>0.56587889538926484</v>
      </c>
      <c r="N36">
        <f t="shared" si="2"/>
        <v>0.38641804365628823</v>
      </c>
    </row>
    <row r="37" spans="1:14" x14ac:dyDescent="0.2">
      <c r="A37">
        <v>5798</v>
      </c>
      <c r="B37">
        <v>46.476100000000002</v>
      </c>
      <c r="C37">
        <v>83.260099999999994</v>
      </c>
      <c r="D37">
        <v>374.54599999999999</v>
      </c>
      <c r="E37">
        <v>7884.47</v>
      </c>
      <c r="F37">
        <v>3.2407400000000002</v>
      </c>
      <c r="G37">
        <v>49.033000000000001</v>
      </c>
      <c r="H37">
        <v>33.833399999999997</v>
      </c>
      <c r="I37">
        <v>5386.28</v>
      </c>
      <c r="J37">
        <v>36.606400000000001</v>
      </c>
      <c r="L37">
        <f t="shared" si="0"/>
        <v>13897.745739999998</v>
      </c>
      <c r="M37">
        <f t="shared" si="1"/>
        <v>0.56732006380770073</v>
      </c>
      <c r="N37">
        <f t="shared" si="2"/>
        <v>0.38756501239603197</v>
      </c>
    </row>
    <row r="39" spans="1:14" x14ac:dyDescent="0.2">
      <c r="A39" t="s">
        <v>0</v>
      </c>
      <c r="B39" t="s">
        <v>39</v>
      </c>
      <c r="C39" t="s">
        <v>40</v>
      </c>
      <c r="D39" t="s">
        <v>41</v>
      </c>
      <c r="E39" t="s">
        <v>42</v>
      </c>
      <c r="F39" t="s">
        <v>43</v>
      </c>
      <c r="M39" t="s">
        <v>96</v>
      </c>
    </row>
    <row r="40" spans="1:14" x14ac:dyDescent="0.2">
      <c r="A40">
        <v>483</v>
      </c>
      <c r="B40">
        <v>48.183799999999998</v>
      </c>
      <c r="C40">
        <v>50.884799999999998</v>
      </c>
      <c r="D40">
        <v>135.25700000000001</v>
      </c>
      <c r="E40">
        <v>7995.1</v>
      </c>
      <c r="F40">
        <v>31.2364</v>
      </c>
      <c r="L40">
        <f t="shared" si="0"/>
        <v>8260.6620000000003</v>
      </c>
      <c r="M40">
        <f>E40/L40</f>
        <v>0.96785221329719096</v>
      </c>
    </row>
    <row r="41" spans="1:14" x14ac:dyDescent="0.2">
      <c r="A41">
        <v>635</v>
      </c>
      <c r="B41">
        <v>49.318199999999997</v>
      </c>
      <c r="C41">
        <v>47.193800000000003</v>
      </c>
      <c r="D41">
        <v>219.36500000000001</v>
      </c>
      <c r="E41">
        <v>7947.45</v>
      </c>
      <c r="F41">
        <v>43.977200000000003</v>
      </c>
      <c r="L41">
        <f t="shared" si="0"/>
        <v>8307.3041999999987</v>
      </c>
      <c r="M41">
        <f t="shared" ref="M41:M75" si="3">E41/L41</f>
        <v>0.95668219300311663</v>
      </c>
    </row>
    <row r="42" spans="1:14" x14ac:dyDescent="0.2">
      <c r="A42">
        <v>787</v>
      </c>
      <c r="B42">
        <v>38.249400000000001</v>
      </c>
      <c r="C42">
        <v>58.325099999999999</v>
      </c>
      <c r="D42">
        <v>246.35499999999999</v>
      </c>
      <c r="E42">
        <v>7884.99</v>
      </c>
      <c r="F42">
        <v>42.822299999999998</v>
      </c>
      <c r="L42">
        <f t="shared" si="0"/>
        <v>8270.7417999999998</v>
      </c>
      <c r="M42">
        <f t="shared" si="3"/>
        <v>0.95335946770820479</v>
      </c>
    </row>
    <row r="43" spans="1:14" x14ac:dyDescent="0.2">
      <c r="A43">
        <v>939</v>
      </c>
      <c r="B43">
        <v>35.228700000000003</v>
      </c>
      <c r="C43">
        <v>59.614899999999999</v>
      </c>
      <c r="D43">
        <v>307.41699999999997</v>
      </c>
      <c r="E43">
        <v>7824.04</v>
      </c>
      <c r="F43">
        <v>34.5167</v>
      </c>
      <c r="L43">
        <f t="shared" si="0"/>
        <v>8260.8173000000006</v>
      </c>
      <c r="M43">
        <f t="shared" si="3"/>
        <v>0.94712662389955038</v>
      </c>
    </row>
    <row r="44" spans="1:14" x14ac:dyDescent="0.2">
      <c r="A44">
        <v>1090</v>
      </c>
      <c r="B44">
        <v>55.521700000000003</v>
      </c>
      <c r="C44">
        <v>50.829099999999997</v>
      </c>
      <c r="D44">
        <v>287.66699999999997</v>
      </c>
      <c r="E44">
        <v>7816.44</v>
      </c>
      <c r="F44">
        <v>37.343800000000002</v>
      </c>
      <c r="L44">
        <f t="shared" si="0"/>
        <v>8247.8016000000007</v>
      </c>
      <c r="M44">
        <f t="shared" si="3"/>
        <v>0.94769980887998073</v>
      </c>
    </row>
    <row r="45" spans="1:14" x14ac:dyDescent="0.2">
      <c r="A45">
        <v>1242</v>
      </c>
      <c r="B45">
        <v>46.979500000000002</v>
      </c>
      <c r="C45">
        <v>87.220699999999994</v>
      </c>
      <c r="D45">
        <v>304.63400000000001</v>
      </c>
      <c r="E45">
        <v>7788.58</v>
      </c>
      <c r="F45">
        <v>37.816200000000002</v>
      </c>
      <c r="L45">
        <f t="shared" si="0"/>
        <v>8265.2303999999986</v>
      </c>
      <c r="M45">
        <f t="shared" si="3"/>
        <v>0.94233065783622938</v>
      </c>
    </row>
    <row r="46" spans="1:14" x14ac:dyDescent="0.2">
      <c r="A46">
        <v>1394</v>
      </c>
      <c r="B46">
        <v>42.247100000000003</v>
      </c>
      <c r="C46">
        <v>88.463200000000001</v>
      </c>
      <c r="D46">
        <v>340.19099999999997</v>
      </c>
      <c r="E46">
        <v>7773.87</v>
      </c>
      <c r="F46">
        <v>35.800699999999999</v>
      </c>
      <c r="L46">
        <f t="shared" si="0"/>
        <v>8280.5720000000001</v>
      </c>
      <c r="M46">
        <f t="shared" si="3"/>
        <v>0.93880833353058213</v>
      </c>
    </row>
    <row r="47" spans="1:14" x14ac:dyDescent="0.2">
      <c r="A47">
        <v>1546</v>
      </c>
      <c r="B47">
        <v>37.212899999999998</v>
      </c>
      <c r="C47">
        <v>69.106200000000001</v>
      </c>
      <c r="D47">
        <v>356.166</v>
      </c>
      <c r="E47">
        <v>7729.35</v>
      </c>
      <c r="F47">
        <v>32.917900000000003</v>
      </c>
      <c r="L47">
        <f t="shared" si="0"/>
        <v>8224.7530000000006</v>
      </c>
      <c r="M47">
        <f t="shared" si="3"/>
        <v>0.93976682339275108</v>
      </c>
    </row>
    <row r="48" spans="1:14" x14ac:dyDescent="0.2">
      <c r="A48">
        <v>1698</v>
      </c>
      <c r="B48">
        <v>43.2789</v>
      </c>
      <c r="C48">
        <v>81.329300000000003</v>
      </c>
      <c r="D48">
        <v>362.666</v>
      </c>
      <c r="E48">
        <v>7729.23</v>
      </c>
      <c r="F48">
        <v>34.029400000000003</v>
      </c>
      <c r="L48">
        <f t="shared" si="0"/>
        <v>8250.5335999999988</v>
      </c>
      <c r="M48">
        <f t="shared" si="3"/>
        <v>0.9368157715277956</v>
      </c>
    </row>
    <row r="49" spans="1:13" x14ac:dyDescent="0.2">
      <c r="A49">
        <v>1850</v>
      </c>
      <c r="B49">
        <v>59.884500000000003</v>
      </c>
      <c r="C49">
        <v>61.802300000000002</v>
      </c>
      <c r="D49">
        <v>384.48</v>
      </c>
      <c r="E49">
        <v>7696.66</v>
      </c>
      <c r="F49">
        <v>21.206800000000001</v>
      </c>
      <c r="L49">
        <f t="shared" si="0"/>
        <v>8224.0336000000007</v>
      </c>
      <c r="M49">
        <f t="shared" si="3"/>
        <v>0.93587409467782323</v>
      </c>
    </row>
    <row r="50" spans="1:13" x14ac:dyDescent="0.2">
      <c r="A50">
        <v>2002</v>
      </c>
      <c r="B50">
        <v>32.264000000000003</v>
      </c>
      <c r="C50">
        <v>74.138999999999996</v>
      </c>
      <c r="D50">
        <v>395.70400000000001</v>
      </c>
      <c r="E50">
        <v>7710.01</v>
      </c>
      <c r="F50">
        <v>37.035899999999998</v>
      </c>
      <c r="L50">
        <f t="shared" si="0"/>
        <v>8249.152900000001</v>
      </c>
      <c r="M50">
        <f t="shared" si="3"/>
        <v>0.93464263463949115</v>
      </c>
    </row>
    <row r="51" spans="1:13" x14ac:dyDescent="0.2">
      <c r="A51">
        <v>2153</v>
      </c>
      <c r="B51">
        <v>37.565800000000003</v>
      </c>
      <c r="C51">
        <v>72.380899999999997</v>
      </c>
      <c r="D51">
        <v>414.85300000000001</v>
      </c>
      <c r="E51">
        <v>7682</v>
      </c>
      <c r="F51">
        <v>36.195399999999999</v>
      </c>
      <c r="L51">
        <f t="shared" si="0"/>
        <v>8242.9951000000001</v>
      </c>
      <c r="M51">
        <f t="shared" si="3"/>
        <v>0.93194280802132223</v>
      </c>
    </row>
    <row r="52" spans="1:13" x14ac:dyDescent="0.2">
      <c r="A52">
        <v>2305</v>
      </c>
      <c r="B52">
        <v>91.933899999999994</v>
      </c>
      <c r="C52">
        <v>82.135099999999994</v>
      </c>
      <c r="D52">
        <v>475.15499999999997</v>
      </c>
      <c r="E52">
        <v>7644.18</v>
      </c>
      <c r="F52">
        <v>38.509399999999999</v>
      </c>
      <c r="L52">
        <f t="shared" si="0"/>
        <v>8331.9134000000013</v>
      </c>
      <c r="M52">
        <f t="shared" si="3"/>
        <v>0.91745792749118094</v>
      </c>
    </row>
    <row r="53" spans="1:13" x14ac:dyDescent="0.2">
      <c r="A53">
        <v>2457</v>
      </c>
      <c r="B53">
        <v>50.739100000000001</v>
      </c>
      <c r="C53">
        <v>93.910799999999995</v>
      </c>
      <c r="D53">
        <v>432.40899999999999</v>
      </c>
      <c r="E53">
        <v>7620.99</v>
      </c>
      <c r="F53">
        <v>33.4848</v>
      </c>
      <c r="L53">
        <f t="shared" si="0"/>
        <v>8231.5337</v>
      </c>
      <c r="M53">
        <f t="shared" si="3"/>
        <v>0.92582868244832672</v>
      </c>
    </row>
    <row r="54" spans="1:13" x14ac:dyDescent="0.2">
      <c r="A54">
        <v>2609</v>
      </c>
      <c r="B54">
        <v>88.480999999999995</v>
      </c>
      <c r="C54">
        <v>98.970200000000006</v>
      </c>
      <c r="D54">
        <v>415.29399999999998</v>
      </c>
      <c r="E54">
        <v>7634.22</v>
      </c>
      <c r="F54">
        <v>37.710999999999999</v>
      </c>
      <c r="L54">
        <f t="shared" si="0"/>
        <v>8274.6761999999999</v>
      </c>
      <c r="M54">
        <f t="shared" si="3"/>
        <v>0.92260045172522887</v>
      </c>
    </row>
    <row r="55" spans="1:13" x14ac:dyDescent="0.2">
      <c r="A55">
        <v>2761</v>
      </c>
      <c r="B55">
        <v>86.811599999999999</v>
      </c>
      <c r="C55">
        <v>96.852500000000006</v>
      </c>
      <c r="D55">
        <v>436.089</v>
      </c>
      <c r="E55">
        <v>7595.89</v>
      </c>
      <c r="F55">
        <v>30.774699999999999</v>
      </c>
      <c r="L55">
        <f t="shared" si="0"/>
        <v>8246.4178000000011</v>
      </c>
      <c r="M55">
        <f t="shared" si="3"/>
        <v>0.92111389262862708</v>
      </c>
    </row>
    <row r="56" spans="1:13" x14ac:dyDescent="0.2">
      <c r="A56">
        <v>2913</v>
      </c>
      <c r="B56">
        <v>105.143</v>
      </c>
      <c r="C56">
        <v>128.13</v>
      </c>
      <c r="D56">
        <v>450.56299999999999</v>
      </c>
      <c r="E56">
        <v>7590.32</v>
      </c>
      <c r="F56">
        <v>33.456400000000002</v>
      </c>
      <c r="L56">
        <f t="shared" si="0"/>
        <v>8307.6123999999982</v>
      </c>
      <c r="M56">
        <f t="shared" si="3"/>
        <v>0.91365841767003975</v>
      </c>
    </row>
    <row r="57" spans="1:13" x14ac:dyDescent="0.2">
      <c r="A57">
        <v>3065</v>
      </c>
      <c r="B57">
        <v>16.775099999999998</v>
      </c>
      <c r="C57">
        <v>121.16200000000001</v>
      </c>
      <c r="D57">
        <v>431.411</v>
      </c>
      <c r="E57">
        <v>7667.61</v>
      </c>
      <c r="F57">
        <v>30.501999999999999</v>
      </c>
      <c r="L57">
        <f t="shared" si="0"/>
        <v>8267.4601000000002</v>
      </c>
      <c r="M57">
        <f t="shared" si="3"/>
        <v>0.92744445177304202</v>
      </c>
    </row>
    <row r="58" spans="1:13" x14ac:dyDescent="0.2">
      <c r="A58">
        <v>3216</v>
      </c>
      <c r="B58">
        <v>38.195999999999998</v>
      </c>
      <c r="C58">
        <v>119.125</v>
      </c>
      <c r="D58">
        <v>434.274</v>
      </c>
      <c r="E58">
        <v>7697.36</v>
      </c>
      <c r="F58">
        <v>32.326099999999997</v>
      </c>
      <c r="L58">
        <f t="shared" si="0"/>
        <v>8321.2811000000002</v>
      </c>
      <c r="M58">
        <f t="shared" si="3"/>
        <v>0.92502102831257549</v>
      </c>
    </row>
    <row r="59" spans="1:13" x14ac:dyDescent="0.2">
      <c r="A59">
        <v>3368</v>
      </c>
      <c r="B59">
        <v>10.0023</v>
      </c>
      <c r="C59">
        <v>120.56</v>
      </c>
      <c r="D59">
        <v>445.738</v>
      </c>
      <c r="E59">
        <v>7701.07</v>
      </c>
      <c r="F59">
        <v>28.014199999999999</v>
      </c>
      <c r="L59">
        <f t="shared" si="0"/>
        <v>8305.3845000000001</v>
      </c>
      <c r="M59">
        <f t="shared" si="3"/>
        <v>0.92723822720067928</v>
      </c>
    </row>
    <row r="60" spans="1:13" x14ac:dyDescent="0.2">
      <c r="A60">
        <v>3520</v>
      </c>
      <c r="B60">
        <v>38.942100000000003</v>
      </c>
      <c r="C60">
        <v>110.86</v>
      </c>
      <c r="D60">
        <v>431.89100000000002</v>
      </c>
      <c r="E60">
        <v>7691.02</v>
      </c>
      <c r="F60">
        <v>14.091799999999999</v>
      </c>
      <c r="L60">
        <f t="shared" si="0"/>
        <v>8286.804900000001</v>
      </c>
      <c r="M60">
        <f t="shared" si="3"/>
        <v>0.92810438918382154</v>
      </c>
    </row>
    <row r="61" spans="1:13" x14ac:dyDescent="0.2">
      <c r="A61">
        <v>3672</v>
      </c>
      <c r="B61">
        <v>35.904899999999998</v>
      </c>
      <c r="C61">
        <v>86.207899999999995</v>
      </c>
      <c r="D61">
        <v>468.20600000000002</v>
      </c>
      <c r="E61">
        <v>7685.84</v>
      </c>
      <c r="F61">
        <v>27.007999999999999</v>
      </c>
      <c r="L61">
        <f t="shared" si="0"/>
        <v>8303.1668000000009</v>
      </c>
      <c r="M61">
        <f t="shared" si="3"/>
        <v>0.92565164414136536</v>
      </c>
    </row>
    <row r="62" spans="1:13" x14ac:dyDescent="0.2">
      <c r="A62">
        <v>3824</v>
      </c>
      <c r="B62">
        <v>51.216099999999997</v>
      </c>
      <c r="C62">
        <v>115.538</v>
      </c>
      <c r="D62">
        <v>466.77499999999998</v>
      </c>
      <c r="E62">
        <v>7661.9</v>
      </c>
      <c r="F62">
        <v>22.291899999999998</v>
      </c>
      <c r="L62">
        <f t="shared" si="0"/>
        <v>8317.7209999999995</v>
      </c>
      <c r="M62">
        <f t="shared" si="3"/>
        <v>0.92115376315219033</v>
      </c>
    </row>
    <row r="63" spans="1:13" x14ac:dyDescent="0.2">
      <c r="A63">
        <v>3976</v>
      </c>
      <c r="B63">
        <v>31.846399999999999</v>
      </c>
      <c r="C63">
        <v>111.495</v>
      </c>
      <c r="D63">
        <v>454.49900000000002</v>
      </c>
      <c r="E63">
        <v>7670.58</v>
      </c>
      <c r="F63">
        <v>41.281300000000002</v>
      </c>
      <c r="L63">
        <f t="shared" si="0"/>
        <v>8309.7016999999996</v>
      </c>
      <c r="M63">
        <f t="shared" si="3"/>
        <v>0.92308728723679701</v>
      </c>
    </row>
    <row r="64" spans="1:13" x14ac:dyDescent="0.2">
      <c r="A64">
        <v>4127</v>
      </c>
      <c r="B64">
        <v>45.886099999999999</v>
      </c>
      <c r="C64">
        <v>98.332700000000003</v>
      </c>
      <c r="D64">
        <v>462.25200000000001</v>
      </c>
      <c r="E64">
        <v>7667.41</v>
      </c>
      <c r="F64">
        <v>24.805099999999999</v>
      </c>
      <c r="L64">
        <f t="shared" si="0"/>
        <v>8298.6858999999986</v>
      </c>
      <c r="M64">
        <f t="shared" si="3"/>
        <v>0.92393061894293427</v>
      </c>
    </row>
    <row r="65" spans="1:13" x14ac:dyDescent="0.2">
      <c r="A65">
        <v>4279</v>
      </c>
      <c r="B65">
        <v>56.326099999999997</v>
      </c>
      <c r="C65">
        <v>115.684</v>
      </c>
      <c r="D65">
        <v>464.39400000000001</v>
      </c>
      <c r="E65">
        <v>7687.81</v>
      </c>
      <c r="F65">
        <v>34.300600000000003</v>
      </c>
      <c r="L65">
        <f t="shared" si="0"/>
        <v>8358.5147000000015</v>
      </c>
      <c r="M65">
        <f t="shared" si="3"/>
        <v>0.91975790866288709</v>
      </c>
    </row>
    <row r="66" spans="1:13" x14ac:dyDescent="0.2">
      <c r="A66">
        <v>4431</v>
      </c>
      <c r="B66">
        <v>44.693100000000001</v>
      </c>
      <c r="C66">
        <v>130.69</v>
      </c>
      <c r="D66">
        <v>472.65199999999999</v>
      </c>
      <c r="E66">
        <v>7643.43</v>
      </c>
      <c r="F66">
        <v>41.543199999999999</v>
      </c>
      <c r="L66">
        <f t="shared" si="0"/>
        <v>8333.0083000000013</v>
      </c>
      <c r="M66">
        <f t="shared" si="3"/>
        <v>0.91724737631666575</v>
      </c>
    </row>
    <row r="67" spans="1:13" x14ac:dyDescent="0.2">
      <c r="A67">
        <v>4583</v>
      </c>
      <c r="B67">
        <v>43.658299999999997</v>
      </c>
      <c r="C67">
        <v>122.318</v>
      </c>
      <c r="D67">
        <v>459.803</v>
      </c>
      <c r="E67">
        <v>7662.8</v>
      </c>
      <c r="F67">
        <v>32.578000000000003</v>
      </c>
      <c r="L67">
        <f t="shared" ref="L67:L75" si="4">SUM(B67:J67)</f>
        <v>8321.1572999999989</v>
      </c>
      <c r="M67">
        <f t="shared" si="3"/>
        <v>0.92088152209308682</v>
      </c>
    </row>
    <row r="68" spans="1:13" x14ac:dyDescent="0.2">
      <c r="A68">
        <v>4735</v>
      </c>
      <c r="B68">
        <v>49.896500000000003</v>
      </c>
      <c r="C68">
        <v>69.179500000000004</v>
      </c>
      <c r="D68">
        <v>476.52100000000002</v>
      </c>
      <c r="E68">
        <v>7659.78</v>
      </c>
      <c r="F68">
        <v>21.0016</v>
      </c>
      <c r="L68">
        <f t="shared" si="4"/>
        <v>8276.3786</v>
      </c>
      <c r="M68">
        <f t="shared" si="3"/>
        <v>0.92549898575205336</v>
      </c>
    </row>
    <row r="69" spans="1:13" x14ac:dyDescent="0.2">
      <c r="A69">
        <v>4887</v>
      </c>
      <c r="B69">
        <v>43.5535</v>
      </c>
      <c r="C69">
        <v>114.81399999999999</v>
      </c>
      <c r="D69">
        <v>482.673</v>
      </c>
      <c r="E69">
        <v>7678.48</v>
      </c>
      <c r="F69">
        <v>47.119199999999999</v>
      </c>
      <c r="L69">
        <f t="shared" si="4"/>
        <v>8366.6396999999979</v>
      </c>
      <c r="M69">
        <f t="shared" si="3"/>
        <v>0.91774957155140813</v>
      </c>
    </row>
    <row r="70" spans="1:13" x14ac:dyDescent="0.2">
      <c r="A70">
        <v>5039</v>
      </c>
      <c r="B70">
        <v>91.180999999999997</v>
      </c>
      <c r="C70">
        <v>91.772099999999995</v>
      </c>
      <c r="D70">
        <v>461.59399999999999</v>
      </c>
      <c r="E70">
        <v>7658.18</v>
      </c>
      <c r="F70">
        <v>11.2286</v>
      </c>
      <c r="L70">
        <f t="shared" si="4"/>
        <v>8313.9557000000004</v>
      </c>
      <c r="M70">
        <f t="shared" si="3"/>
        <v>0.92112350322001357</v>
      </c>
    </row>
    <row r="71" spans="1:13" x14ac:dyDescent="0.2">
      <c r="A71">
        <v>5190</v>
      </c>
      <c r="B71">
        <v>108.896</v>
      </c>
      <c r="C71">
        <v>124.798</v>
      </c>
      <c r="D71">
        <v>463.38499999999999</v>
      </c>
      <c r="E71">
        <v>7666.64</v>
      </c>
      <c r="F71">
        <v>35.768000000000001</v>
      </c>
      <c r="L71">
        <f t="shared" si="4"/>
        <v>8399.487000000001</v>
      </c>
      <c r="M71">
        <f t="shared" si="3"/>
        <v>0.91275098110158392</v>
      </c>
    </row>
    <row r="72" spans="1:13" x14ac:dyDescent="0.2">
      <c r="A72">
        <v>5342</v>
      </c>
      <c r="B72">
        <v>64.723799999999997</v>
      </c>
      <c r="C72">
        <v>143.47800000000001</v>
      </c>
      <c r="D72">
        <v>517.274</v>
      </c>
      <c r="E72">
        <v>7669</v>
      </c>
      <c r="F72">
        <v>37.633099999999999</v>
      </c>
      <c r="L72">
        <f t="shared" si="4"/>
        <v>8432.1088999999993</v>
      </c>
      <c r="M72">
        <f t="shared" si="3"/>
        <v>0.90949963893374297</v>
      </c>
    </row>
    <row r="73" spans="1:13" x14ac:dyDescent="0.2">
      <c r="A73">
        <v>5494</v>
      </c>
      <c r="B73">
        <v>120.684</v>
      </c>
      <c r="C73">
        <v>125.09399999999999</v>
      </c>
      <c r="D73">
        <v>467.70800000000003</v>
      </c>
      <c r="E73">
        <v>7660.78</v>
      </c>
      <c r="F73">
        <v>31.020600000000002</v>
      </c>
      <c r="L73">
        <f t="shared" si="4"/>
        <v>8405.2865999999995</v>
      </c>
      <c r="M73">
        <f t="shared" si="3"/>
        <v>0.91142400783811472</v>
      </c>
    </row>
    <row r="74" spans="1:13" x14ac:dyDescent="0.2">
      <c r="A74">
        <v>5646</v>
      </c>
      <c r="B74">
        <v>104.73099999999999</v>
      </c>
      <c r="C74">
        <v>102.491</v>
      </c>
      <c r="D74">
        <v>448.99099999999999</v>
      </c>
      <c r="E74">
        <v>7668.96</v>
      </c>
      <c r="F74">
        <v>41.011800000000001</v>
      </c>
      <c r="L74">
        <f t="shared" si="4"/>
        <v>8366.1848000000009</v>
      </c>
      <c r="M74">
        <f t="shared" si="3"/>
        <v>0.91666155880276501</v>
      </c>
    </row>
    <row r="75" spans="1:13" x14ac:dyDescent="0.2">
      <c r="A75">
        <v>5798</v>
      </c>
      <c r="B75">
        <v>49.613700000000001</v>
      </c>
      <c r="C75">
        <v>109.12</v>
      </c>
      <c r="D75">
        <v>451.815</v>
      </c>
      <c r="E75">
        <v>7657.14</v>
      </c>
      <c r="F75">
        <v>35.3673</v>
      </c>
      <c r="L75">
        <f t="shared" si="4"/>
        <v>8303.0560000000005</v>
      </c>
      <c r="M75">
        <f t="shared" si="3"/>
        <v>0.92220743783975445</v>
      </c>
    </row>
    <row r="77" spans="1:13" x14ac:dyDescent="0.2">
      <c r="A77" t="s">
        <v>0</v>
      </c>
      <c r="B77" t="s">
        <v>44</v>
      </c>
    </row>
    <row r="78" spans="1:13" x14ac:dyDescent="0.2">
      <c r="A78">
        <v>483</v>
      </c>
      <c r="B78">
        <v>58755.1</v>
      </c>
    </row>
    <row r="79" spans="1:13" x14ac:dyDescent="0.2">
      <c r="A79">
        <v>635</v>
      </c>
      <c r="B79">
        <v>51962.2</v>
      </c>
    </row>
    <row r="80" spans="1:13" x14ac:dyDescent="0.2">
      <c r="A80">
        <v>787</v>
      </c>
      <c r="B80">
        <v>45701.3</v>
      </c>
    </row>
    <row r="81" spans="1:2" x14ac:dyDescent="0.2">
      <c r="A81">
        <v>939</v>
      </c>
      <c r="B81">
        <v>40215.599999999999</v>
      </c>
    </row>
    <row r="82" spans="1:2" x14ac:dyDescent="0.2">
      <c r="A82">
        <v>1090</v>
      </c>
      <c r="B82">
        <v>35441.5</v>
      </c>
    </row>
    <row r="83" spans="1:2" x14ac:dyDescent="0.2">
      <c r="A83">
        <v>1242</v>
      </c>
      <c r="B83">
        <v>31231.9</v>
      </c>
    </row>
    <row r="84" spans="1:2" x14ac:dyDescent="0.2">
      <c r="A84">
        <v>1394</v>
      </c>
      <c r="B84">
        <v>27398.1</v>
      </c>
    </row>
    <row r="85" spans="1:2" x14ac:dyDescent="0.2">
      <c r="A85">
        <v>1546</v>
      </c>
      <c r="B85">
        <v>24018.3</v>
      </c>
    </row>
    <row r="86" spans="1:2" x14ac:dyDescent="0.2">
      <c r="A86">
        <v>1698</v>
      </c>
      <c r="B86">
        <v>21219.3</v>
      </c>
    </row>
    <row r="87" spans="1:2" x14ac:dyDescent="0.2">
      <c r="A87">
        <v>1850</v>
      </c>
      <c r="B87">
        <v>18729.900000000001</v>
      </c>
    </row>
    <row r="88" spans="1:2" x14ac:dyDescent="0.2">
      <c r="A88">
        <v>2002</v>
      </c>
      <c r="B88">
        <v>16432.099999999999</v>
      </c>
    </row>
    <row r="89" spans="1:2" x14ac:dyDescent="0.2">
      <c r="A89">
        <v>2153</v>
      </c>
      <c r="B89">
        <v>14497.1</v>
      </c>
    </row>
    <row r="90" spans="1:2" x14ac:dyDescent="0.2">
      <c r="A90">
        <v>2305</v>
      </c>
      <c r="B90">
        <v>12698.2</v>
      </c>
    </row>
    <row r="91" spans="1:2" x14ac:dyDescent="0.2">
      <c r="A91">
        <v>2457</v>
      </c>
      <c r="B91">
        <v>11167.5</v>
      </c>
    </row>
    <row r="92" spans="1:2" x14ac:dyDescent="0.2">
      <c r="A92">
        <v>2609</v>
      </c>
      <c r="B92">
        <v>9953.59</v>
      </c>
    </row>
    <row r="93" spans="1:2" x14ac:dyDescent="0.2">
      <c r="A93">
        <v>2761</v>
      </c>
      <c r="B93">
        <v>8763.83</v>
      </c>
    </row>
    <row r="94" spans="1:2" x14ac:dyDescent="0.2">
      <c r="A94">
        <v>2913</v>
      </c>
      <c r="B94">
        <v>7608.78</v>
      </c>
    </row>
    <row r="95" spans="1:2" x14ac:dyDescent="0.2">
      <c r="A95">
        <v>3065</v>
      </c>
      <c r="B95">
        <v>6917.57</v>
      </c>
    </row>
    <row r="96" spans="1:2" x14ac:dyDescent="0.2">
      <c r="A96">
        <v>3216</v>
      </c>
      <c r="B96">
        <v>6061.6</v>
      </c>
    </row>
    <row r="97" spans="1:2" x14ac:dyDescent="0.2">
      <c r="A97">
        <v>3368</v>
      </c>
      <c r="B97">
        <v>5408.78</v>
      </c>
    </row>
    <row r="98" spans="1:2" x14ac:dyDescent="0.2">
      <c r="A98">
        <v>3520</v>
      </c>
      <c r="B98">
        <v>4588.3100000000004</v>
      </c>
    </row>
    <row r="99" spans="1:2" x14ac:dyDescent="0.2">
      <c r="A99">
        <v>3672</v>
      </c>
      <c r="B99">
        <v>4105.03</v>
      </c>
    </row>
    <row r="100" spans="1:2" x14ac:dyDescent="0.2">
      <c r="A100">
        <v>3824</v>
      </c>
      <c r="B100">
        <v>3649.34</v>
      </c>
    </row>
    <row r="101" spans="1:2" x14ac:dyDescent="0.2">
      <c r="A101">
        <v>3976</v>
      </c>
      <c r="B101">
        <v>3215.22</v>
      </c>
    </row>
    <row r="102" spans="1:2" x14ac:dyDescent="0.2">
      <c r="A102">
        <v>4127</v>
      </c>
      <c r="B102">
        <v>2821.37</v>
      </c>
    </row>
    <row r="103" spans="1:2" x14ac:dyDescent="0.2">
      <c r="A103">
        <v>4279</v>
      </c>
      <c r="B103">
        <v>2548.46</v>
      </c>
    </row>
    <row r="104" spans="1:2" x14ac:dyDescent="0.2">
      <c r="A104">
        <v>4431</v>
      </c>
      <c r="B104">
        <v>2226.42</v>
      </c>
    </row>
    <row r="105" spans="1:2" x14ac:dyDescent="0.2">
      <c r="A105">
        <v>4583</v>
      </c>
      <c r="B105">
        <v>1990.9</v>
      </c>
    </row>
    <row r="106" spans="1:2" x14ac:dyDescent="0.2">
      <c r="A106">
        <v>4735</v>
      </c>
      <c r="B106">
        <v>1735.34</v>
      </c>
    </row>
    <row r="107" spans="1:2" x14ac:dyDescent="0.2">
      <c r="A107">
        <v>4887</v>
      </c>
      <c r="B107">
        <v>1489.39</v>
      </c>
    </row>
    <row r="108" spans="1:2" x14ac:dyDescent="0.2">
      <c r="A108">
        <v>5039</v>
      </c>
      <c r="B108">
        <v>1331.26</v>
      </c>
    </row>
    <row r="109" spans="1:2" x14ac:dyDescent="0.2">
      <c r="A109">
        <v>5190</v>
      </c>
      <c r="B109">
        <v>136.74100000000001</v>
      </c>
    </row>
    <row r="110" spans="1:2" x14ac:dyDescent="0.2">
      <c r="A110">
        <v>5342</v>
      </c>
      <c r="B110">
        <v>116.304</v>
      </c>
    </row>
    <row r="111" spans="1:2" x14ac:dyDescent="0.2">
      <c r="A111">
        <v>5494</v>
      </c>
      <c r="B111">
        <v>136.27000000000001</v>
      </c>
    </row>
    <row r="112" spans="1:2" x14ac:dyDescent="0.2">
      <c r="A112">
        <v>5646</v>
      </c>
      <c r="B112">
        <v>119.164</v>
      </c>
    </row>
    <row r="113" spans="1:2" x14ac:dyDescent="0.2">
      <c r="A113">
        <v>5798</v>
      </c>
      <c r="B113">
        <v>139.554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B8A2-155A-6842-9BB0-AF1B8F8A516F}">
  <dimension ref="A1:N221"/>
  <sheetViews>
    <sheetView workbookViewId="0">
      <selection activeCell="I1" sqref="I1"/>
    </sheetView>
  </sheetViews>
  <sheetFormatPr baseColWidth="10" defaultRowHeight="16" x14ac:dyDescent="0.2"/>
  <sheetData>
    <row r="1" spans="1:14" x14ac:dyDescent="0.2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L1" t="s">
        <v>93</v>
      </c>
      <c r="M1" t="s">
        <v>94</v>
      </c>
      <c r="N1" t="s">
        <v>95</v>
      </c>
    </row>
    <row r="2" spans="1:14" x14ac:dyDescent="0.2">
      <c r="A2">
        <v>433</v>
      </c>
      <c r="B2">
        <v>4.2414100000000001</v>
      </c>
      <c r="C2">
        <v>42.743099999999998</v>
      </c>
      <c r="D2">
        <v>88.009100000000004</v>
      </c>
      <c r="E2">
        <v>7539.95</v>
      </c>
      <c r="F2">
        <v>5.9101800000000003E-2</v>
      </c>
      <c r="G2">
        <v>33.205300000000001</v>
      </c>
      <c r="H2">
        <v>36.510800000000003</v>
      </c>
      <c r="I2">
        <v>5343.49</v>
      </c>
      <c r="J2">
        <v>41.861199999999997</v>
      </c>
      <c r="L2">
        <f>SUM(B2:J2)</f>
        <v>13130.070011799999</v>
      </c>
      <c r="M2">
        <f>E2/L2</f>
        <v>0.57425055565003413</v>
      </c>
      <c r="N2">
        <f>I2/L2</f>
        <v>0.40696584216213649</v>
      </c>
    </row>
    <row r="3" spans="1:14" x14ac:dyDescent="0.2">
      <c r="A3">
        <v>585</v>
      </c>
      <c r="B3">
        <v>3.8246699999999998</v>
      </c>
      <c r="C3">
        <v>48.894599999999997</v>
      </c>
      <c r="D3">
        <v>111.31399999999999</v>
      </c>
      <c r="E3">
        <v>7388.24</v>
      </c>
      <c r="F3">
        <v>3.8282699999999998</v>
      </c>
      <c r="G3">
        <v>45.705100000000002</v>
      </c>
      <c r="H3">
        <v>36.278399999999998</v>
      </c>
      <c r="I3">
        <v>5222.0200000000004</v>
      </c>
      <c r="J3">
        <v>38.775199999999998</v>
      </c>
      <c r="L3">
        <f t="shared" ref="L3:L66" si="0">SUM(B3:J3)</f>
        <v>12898.88024</v>
      </c>
      <c r="M3">
        <f t="shared" ref="M3:M37" si="1">E3/L3</f>
        <v>0.57278150215619028</v>
      </c>
      <c r="N3">
        <f t="shared" ref="N3:N37" si="2">I3/L3</f>
        <v>0.40484289355647202</v>
      </c>
    </row>
    <row r="4" spans="1:14" x14ac:dyDescent="0.2">
      <c r="A4">
        <v>737</v>
      </c>
      <c r="B4">
        <v>3.80918</v>
      </c>
      <c r="C4">
        <v>41.7986</v>
      </c>
      <c r="D4">
        <v>128.589</v>
      </c>
      <c r="E4">
        <v>7410.83</v>
      </c>
      <c r="F4">
        <v>-3.0423499999999999</v>
      </c>
      <c r="G4">
        <v>45.397199999999998</v>
      </c>
      <c r="H4">
        <v>33.668900000000001</v>
      </c>
      <c r="I4">
        <v>5258.94</v>
      </c>
      <c r="J4">
        <v>42.468800000000002</v>
      </c>
      <c r="L4">
        <f t="shared" si="0"/>
        <v>12962.45933</v>
      </c>
      <c r="M4">
        <f t="shared" si="1"/>
        <v>0.57171481208419728</v>
      </c>
      <c r="N4">
        <f t="shared" si="2"/>
        <v>0.40570541948230743</v>
      </c>
    </row>
    <row r="5" spans="1:14" x14ac:dyDescent="0.2">
      <c r="A5">
        <v>889</v>
      </c>
      <c r="B5">
        <v>2.5148899999999998</v>
      </c>
      <c r="C5">
        <v>57.514699999999998</v>
      </c>
      <c r="D5">
        <v>156.26400000000001</v>
      </c>
      <c r="E5">
        <v>7303.26</v>
      </c>
      <c r="F5">
        <v>-3.31813</v>
      </c>
      <c r="G5">
        <v>55.615699999999997</v>
      </c>
      <c r="H5">
        <v>39.577399999999997</v>
      </c>
      <c r="I5">
        <v>5226.93</v>
      </c>
      <c r="J5">
        <v>40.653399999999998</v>
      </c>
      <c r="L5">
        <f t="shared" si="0"/>
        <v>12879.01196</v>
      </c>
      <c r="M5">
        <f t="shared" si="1"/>
        <v>0.56706679228831158</v>
      </c>
      <c r="N5">
        <f t="shared" si="2"/>
        <v>0.40584867971502375</v>
      </c>
    </row>
    <row r="6" spans="1:14" x14ac:dyDescent="0.2">
      <c r="A6">
        <v>1040</v>
      </c>
      <c r="B6">
        <v>11.5891</v>
      </c>
      <c r="C6">
        <v>57.448099999999997</v>
      </c>
      <c r="D6">
        <v>164.34200000000001</v>
      </c>
      <c r="E6">
        <v>7447.27</v>
      </c>
      <c r="F6">
        <v>1.9739800000000001</v>
      </c>
      <c r="G6">
        <v>59.717100000000002</v>
      </c>
      <c r="H6">
        <v>40.678600000000003</v>
      </c>
      <c r="I6">
        <v>5237.0200000000004</v>
      </c>
      <c r="J6">
        <v>35.0764</v>
      </c>
      <c r="L6">
        <f t="shared" si="0"/>
        <v>13055.11528</v>
      </c>
      <c r="M6">
        <f t="shared" si="1"/>
        <v>0.57044842885523728</v>
      </c>
      <c r="N6">
        <f t="shared" si="2"/>
        <v>0.4011469747818267</v>
      </c>
    </row>
    <row r="7" spans="1:14" x14ac:dyDescent="0.2">
      <c r="A7">
        <v>1192</v>
      </c>
      <c r="B7">
        <v>20.791599999999999</v>
      </c>
      <c r="C7">
        <v>53.839399999999998</v>
      </c>
      <c r="D7">
        <v>185.63200000000001</v>
      </c>
      <c r="E7">
        <v>7354.96</v>
      </c>
      <c r="F7">
        <v>6.1529400000000001</v>
      </c>
      <c r="G7">
        <v>58.444899999999997</v>
      </c>
      <c r="H7">
        <v>42.848799999999997</v>
      </c>
      <c r="I7">
        <v>5212.46</v>
      </c>
      <c r="J7">
        <v>41.6526</v>
      </c>
      <c r="L7">
        <f t="shared" si="0"/>
        <v>12976.782239999999</v>
      </c>
      <c r="M7">
        <f t="shared" si="1"/>
        <v>0.56677840962213766</v>
      </c>
      <c r="N7">
        <f t="shared" si="2"/>
        <v>0.40167584718598165</v>
      </c>
    </row>
    <row r="8" spans="1:14" x14ac:dyDescent="0.2">
      <c r="A8">
        <v>1344</v>
      </c>
      <c r="B8">
        <v>18.156700000000001</v>
      </c>
      <c r="C8">
        <v>56.306600000000003</v>
      </c>
      <c r="D8">
        <v>199.535</v>
      </c>
      <c r="E8">
        <v>7294.09</v>
      </c>
      <c r="F8">
        <v>8.5618300000000005</v>
      </c>
      <c r="G8">
        <v>58.536299999999997</v>
      </c>
      <c r="H8">
        <v>47.357900000000001</v>
      </c>
      <c r="I8">
        <v>5168.57</v>
      </c>
      <c r="J8">
        <v>43.889600000000002</v>
      </c>
      <c r="L8">
        <f t="shared" si="0"/>
        <v>12895.003930000001</v>
      </c>
      <c r="M8">
        <f t="shared" si="1"/>
        <v>0.5656524061253233</v>
      </c>
      <c r="N8">
        <f t="shared" si="2"/>
        <v>0.40081957539969509</v>
      </c>
    </row>
    <row r="9" spans="1:14" x14ac:dyDescent="0.2">
      <c r="A9">
        <v>1496</v>
      </c>
      <c r="B9">
        <v>28.8142</v>
      </c>
      <c r="C9">
        <v>51.092700000000001</v>
      </c>
      <c r="D9">
        <v>217.16300000000001</v>
      </c>
      <c r="E9">
        <v>7318.28</v>
      </c>
      <c r="F9">
        <v>8.4167199999999998</v>
      </c>
      <c r="G9">
        <v>68.121899999999997</v>
      </c>
      <c r="H9">
        <v>42.1327</v>
      </c>
      <c r="I9">
        <v>5156.63</v>
      </c>
      <c r="J9">
        <v>40.782899999999998</v>
      </c>
      <c r="L9">
        <f t="shared" si="0"/>
        <v>12931.43412</v>
      </c>
      <c r="M9">
        <f t="shared" si="1"/>
        <v>0.56592949645711843</v>
      </c>
      <c r="N9">
        <f t="shared" si="2"/>
        <v>0.39876706265894041</v>
      </c>
    </row>
    <row r="10" spans="1:14" x14ac:dyDescent="0.2">
      <c r="A10">
        <v>1648</v>
      </c>
      <c r="B10">
        <v>30.7379</v>
      </c>
      <c r="C10">
        <v>51.547199999999997</v>
      </c>
      <c r="D10">
        <v>232.65899999999999</v>
      </c>
      <c r="E10">
        <v>7369.87</v>
      </c>
      <c r="F10">
        <v>4.5162800000000001</v>
      </c>
      <c r="G10">
        <v>55.437600000000003</v>
      </c>
      <c r="H10">
        <v>31.226199999999999</v>
      </c>
      <c r="I10">
        <v>5146.93</v>
      </c>
      <c r="J10">
        <v>35.273600000000002</v>
      </c>
      <c r="L10">
        <f t="shared" si="0"/>
        <v>12958.19778</v>
      </c>
      <c r="M10">
        <f t="shared" si="1"/>
        <v>0.56874189799563313</v>
      </c>
      <c r="N10">
        <f t="shared" si="2"/>
        <v>0.39719489448940948</v>
      </c>
    </row>
    <row r="11" spans="1:14" x14ac:dyDescent="0.2">
      <c r="A11">
        <v>1800</v>
      </c>
      <c r="B11">
        <v>20.171800000000001</v>
      </c>
      <c r="C11">
        <v>63.5608</v>
      </c>
      <c r="D11">
        <v>237.23599999999999</v>
      </c>
      <c r="E11">
        <v>7370.71</v>
      </c>
      <c r="F11">
        <v>11.5641</v>
      </c>
      <c r="G11">
        <v>56.322899999999997</v>
      </c>
      <c r="H11">
        <v>44.204099999999997</v>
      </c>
      <c r="I11">
        <v>5135.1400000000003</v>
      </c>
      <c r="J11">
        <v>35.132899999999999</v>
      </c>
      <c r="L11">
        <f t="shared" si="0"/>
        <v>12974.042600000001</v>
      </c>
      <c r="M11">
        <f t="shared" si="1"/>
        <v>0.56811205475770521</v>
      </c>
      <c r="N11">
        <f t="shared" si="2"/>
        <v>0.39580107436983442</v>
      </c>
    </row>
    <row r="12" spans="1:14" x14ac:dyDescent="0.2">
      <c r="A12">
        <v>1951</v>
      </c>
      <c r="B12">
        <v>32.696599999999997</v>
      </c>
      <c r="C12">
        <v>66.742999999999995</v>
      </c>
      <c r="D12">
        <v>243.458</v>
      </c>
      <c r="E12">
        <v>7370.33</v>
      </c>
      <c r="F12">
        <v>11.9794</v>
      </c>
      <c r="G12">
        <v>52.5837</v>
      </c>
      <c r="H12">
        <v>45.109200000000001</v>
      </c>
      <c r="I12">
        <v>5175.7700000000004</v>
      </c>
      <c r="J12">
        <v>45.630499999999998</v>
      </c>
      <c r="L12">
        <f t="shared" si="0"/>
        <v>13044.3004</v>
      </c>
      <c r="M12">
        <f t="shared" si="1"/>
        <v>0.56502301955572876</v>
      </c>
      <c r="N12">
        <f t="shared" si="2"/>
        <v>0.39678402377179234</v>
      </c>
    </row>
    <row r="13" spans="1:14" x14ac:dyDescent="0.2">
      <c r="A13">
        <v>2103</v>
      </c>
      <c r="B13">
        <v>28.3307</v>
      </c>
      <c r="C13">
        <v>65.541899999999998</v>
      </c>
      <c r="D13">
        <v>253.87200000000001</v>
      </c>
      <c r="E13">
        <v>7372.86</v>
      </c>
      <c r="F13">
        <v>13.580299999999999</v>
      </c>
      <c r="G13">
        <v>64.489800000000002</v>
      </c>
      <c r="H13">
        <v>36.438899999999997</v>
      </c>
      <c r="I13">
        <v>5158.99</v>
      </c>
      <c r="J13">
        <v>42.749699999999997</v>
      </c>
      <c r="L13">
        <f t="shared" si="0"/>
        <v>13036.853299999999</v>
      </c>
      <c r="M13">
        <f t="shared" si="1"/>
        <v>0.56553984541653168</v>
      </c>
      <c r="N13">
        <f t="shared" si="2"/>
        <v>0.39572356007104875</v>
      </c>
    </row>
    <row r="14" spans="1:14" x14ac:dyDescent="0.2">
      <c r="A14">
        <v>2255</v>
      </c>
      <c r="B14">
        <v>34.688000000000002</v>
      </c>
      <c r="C14">
        <v>67.040000000000006</v>
      </c>
      <c r="D14">
        <v>253.6</v>
      </c>
      <c r="E14">
        <v>7369.35</v>
      </c>
      <c r="F14">
        <v>10.989000000000001</v>
      </c>
      <c r="G14">
        <v>62.009099999999997</v>
      </c>
      <c r="H14">
        <v>39.173699999999997</v>
      </c>
      <c r="I14">
        <v>5137.37</v>
      </c>
      <c r="J14">
        <v>34.585999999999999</v>
      </c>
      <c r="L14">
        <f t="shared" si="0"/>
        <v>13008.805799999998</v>
      </c>
      <c r="M14">
        <f t="shared" si="1"/>
        <v>0.5664893544648042</v>
      </c>
      <c r="N14">
        <f t="shared" si="2"/>
        <v>0.394914804554927</v>
      </c>
    </row>
    <row r="15" spans="1:14" x14ac:dyDescent="0.2">
      <c r="A15">
        <v>2407</v>
      </c>
      <c r="B15">
        <v>35.366399999999999</v>
      </c>
      <c r="C15">
        <v>70.006900000000002</v>
      </c>
      <c r="D15">
        <v>277.245</v>
      </c>
      <c r="E15">
        <v>7344.56</v>
      </c>
      <c r="F15">
        <v>14.7943</v>
      </c>
      <c r="G15">
        <v>61.306899999999999</v>
      </c>
      <c r="H15">
        <v>30.028099999999998</v>
      </c>
      <c r="I15">
        <v>5099.22</v>
      </c>
      <c r="J15">
        <v>47.284700000000001</v>
      </c>
      <c r="L15">
        <f t="shared" si="0"/>
        <v>12979.812300000001</v>
      </c>
      <c r="M15">
        <f t="shared" si="1"/>
        <v>0.56584485432042797</v>
      </c>
      <c r="N15">
        <f t="shared" si="2"/>
        <v>0.39285776112494319</v>
      </c>
    </row>
    <row r="16" spans="1:14" x14ac:dyDescent="0.2">
      <c r="A16">
        <v>2559</v>
      </c>
      <c r="B16">
        <v>30.523800000000001</v>
      </c>
      <c r="C16">
        <v>64.753500000000003</v>
      </c>
      <c r="D16">
        <v>271.839</v>
      </c>
      <c r="E16">
        <v>7281.49</v>
      </c>
      <c r="F16">
        <v>21.046299999999999</v>
      </c>
      <c r="G16">
        <v>70.754599999999996</v>
      </c>
      <c r="H16">
        <v>34.828499999999998</v>
      </c>
      <c r="I16">
        <v>5098.67</v>
      </c>
      <c r="J16">
        <v>32.757100000000001</v>
      </c>
      <c r="L16">
        <f t="shared" si="0"/>
        <v>12906.6628</v>
      </c>
      <c r="M16">
        <f t="shared" si="1"/>
        <v>0.56416520000816939</v>
      </c>
      <c r="N16">
        <f t="shared" si="2"/>
        <v>0.39504169892778168</v>
      </c>
    </row>
    <row r="17" spans="1:14" x14ac:dyDescent="0.2">
      <c r="A17">
        <v>2711</v>
      </c>
      <c r="B17">
        <v>38.979100000000003</v>
      </c>
      <c r="C17">
        <v>62.921199999999999</v>
      </c>
      <c r="D17">
        <v>276.108</v>
      </c>
      <c r="E17">
        <v>7354.89</v>
      </c>
      <c r="F17">
        <v>15.3154</v>
      </c>
      <c r="G17">
        <v>46.154899999999998</v>
      </c>
      <c r="H17">
        <v>39.036200000000001</v>
      </c>
      <c r="I17">
        <v>5099.17</v>
      </c>
      <c r="J17">
        <v>33.895499999999998</v>
      </c>
      <c r="L17">
        <f t="shared" si="0"/>
        <v>12966.470300000003</v>
      </c>
      <c r="M17">
        <f t="shared" si="1"/>
        <v>0.5672237571083627</v>
      </c>
      <c r="N17">
        <f t="shared" si="2"/>
        <v>0.39325814057507996</v>
      </c>
    </row>
    <row r="18" spans="1:14" x14ac:dyDescent="0.2">
      <c r="A18">
        <v>2862</v>
      </c>
      <c r="B18">
        <v>33.278599999999997</v>
      </c>
      <c r="C18">
        <v>70.518000000000001</v>
      </c>
      <c r="D18">
        <v>282.238</v>
      </c>
      <c r="E18">
        <v>7338.17</v>
      </c>
      <c r="F18">
        <v>23.248799999999999</v>
      </c>
      <c r="G18">
        <v>61.557899999999997</v>
      </c>
      <c r="H18">
        <v>34.883000000000003</v>
      </c>
      <c r="I18">
        <v>5085.12</v>
      </c>
      <c r="J18">
        <v>35.640099999999997</v>
      </c>
      <c r="L18">
        <f t="shared" si="0"/>
        <v>12964.654399999999</v>
      </c>
      <c r="M18">
        <f t="shared" si="1"/>
        <v>0.56601354525886938</v>
      </c>
      <c r="N18">
        <f t="shared" si="2"/>
        <v>0.39222950671172541</v>
      </c>
    </row>
    <row r="19" spans="1:14" x14ac:dyDescent="0.2">
      <c r="A19">
        <v>3014</v>
      </c>
      <c r="B19">
        <v>35.881</v>
      </c>
      <c r="C19">
        <v>74.565100000000001</v>
      </c>
      <c r="D19">
        <v>281.95600000000002</v>
      </c>
      <c r="E19">
        <v>7366.88</v>
      </c>
      <c r="F19">
        <v>14.548299999999999</v>
      </c>
      <c r="G19">
        <v>58.759300000000003</v>
      </c>
      <c r="H19">
        <v>39.654400000000003</v>
      </c>
      <c r="I19">
        <v>5101.72</v>
      </c>
      <c r="J19">
        <v>27.789300000000001</v>
      </c>
      <c r="L19">
        <f t="shared" si="0"/>
        <v>13001.753400000001</v>
      </c>
      <c r="M19">
        <f t="shared" si="1"/>
        <v>0.56660665476088778</v>
      </c>
      <c r="N19">
        <f t="shared" si="2"/>
        <v>0.39238707603852874</v>
      </c>
    </row>
    <row r="20" spans="1:14" x14ac:dyDescent="0.2">
      <c r="A20">
        <v>3166</v>
      </c>
      <c r="B20">
        <v>25.713899999999999</v>
      </c>
      <c r="C20">
        <v>73.246899999999997</v>
      </c>
      <c r="D20">
        <v>284.661</v>
      </c>
      <c r="E20">
        <v>7354.7</v>
      </c>
      <c r="F20">
        <v>19.779499999999999</v>
      </c>
      <c r="G20">
        <v>71.655199999999994</v>
      </c>
      <c r="H20">
        <v>35.2607</v>
      </c>
      <c r="I20">
        <v>5085.84</v>
      </c>
      <c r="J20">
        <v>32.845500000000001</v>
      </c>
      <c r="L20">
        <f t="shared" si="0"/>
        <v>12983.702699999998</v>
      </c>
      <c r="M20">
        <f t="shared" si="1"/>
        <v>0.56645628523210112</v>
      </c>
      <c r="N20">
        <f t="shared" si="2"/>
        <v>0.39170952366307654</v>
      </c>
    </row>
    <row r="21" spans="1:14" x14ac:dyDescent="0.2">
      <c r="A21">
        <v>3318</v>
      </c>
      <c r="B21">
        <v>35.423400000000001</v>
      </c>
      <c r="C21">
        <v>55.070700000000002</v>
      </c>
      <c r="D21">
        <v>305.11500000000001</v>
      </c>
      <c r="E21">
        <v>7356.42</v>
      </c>
      <c r="F21">
        <v>20.715499999999999</v>
      </c>
      <c r="G21">
        <v>56.374699999999997</v>
      </c>
      <c r="H21">
        <v>38.820500000000003</v>
      </c>
      <c r="I21">
        <v>5066.32</v>
      </c>
      <c r="J21">
        <v>39.196899999999999</v>
      </c>
      <c r="L21">
        <f t="shared" si="0"/>
        <v>12973.456700000001</v>
      </c>
      <c r="M21">
        <f t="shared" si="1"/>
        <v>0.56703623175464102</v>
      </c>
      <c r="N21">
        <f t="shared" si="2"/>
        <v>0.39051427211376899</v>
      </c>
    </row>
    <row r="22" spans="1:14" x14ac:dyDescent="0.2">
      <c r="A22">
        <v>3470</v>
      </c>
      <c r="B22">
        <v>20.0702</v>
      </c>
      <c r="C22">
        <v>59.677100000000003</v>
      </c>
      <c r="D22">
        <v>289.774</v>
      </c>
      <c r="E22">
        <v>7422.03</v>
      </c>
      <c r="F22">
        <v>18.5351</v>
      </c>
      <c r="G22">
        <v>65.519499999999994</v>
      </c>
      <c r="H22">
        <v>47.846699999999998</v>
      </c>
      <c r="I22">
        <v>5141.2700000000004</v>
      </c>
      <c r="J22">
        <v>32.522599999999997</v>
      </c>
      <c r="L22">
        <f t="shared" si="0"/>
        <v>13097.245200000001</v>
      </c>
      <c r="M22">
        <f t="shared" si="1"/>
        <v>0.56668634408707563</v>
      </c>
      <c r="N22">
        <f t="shared" si="2"/>
        <v>0.39254590728743477</v>
      </c>
    </row>
    <row r="23" spans="1:14" x14ac:dyDescent="0.2">
      <c r="A23">
        <v>3622</v>
      </c>
      <c r="B23">
        <v>35.317500000000003</v>
      </c>
      <c r="C23">
        <v>53.164700000000003</v>
      </c>
      <c r="D23">
        <v>281.851</v>
      </c>
      <c r="E23">
        <v>7314.89</v>
      </c>
      <c r="F23">
        <v>13.6355</v>
      </c>
      <c r="G23">
        <v>54.842599999999997</v>
      </c>
      <c r="H23">
        <v>39.119399999999999</v>
      </c>
      <c r="I23">
        <v>5071.42</v>
      </c>
      <c r="J23">
        <v>39.617199999999997</v>
      </c>
      <c r="L23">
        <f t="shared" si="0"/>
        <v>12903.857900000001</v>
      </c>
      <c r="M23">
        <f t="shared" si="1"/>
        <v>0.56687620529361227</v>
      </c>
      <c r="N23">
        <f t="shared" si="2"/>
        <v>0.39301579723688679</v>
      </c>
    </row>
    <row r="24" spans="1:14" x14ac:dyDescent="0.2">
      <c r="A24">
        <v>3773</v>
      </c>
      <c r="B24">
        <v>37.388800000000003</v>
      </c>
      <c r="C24">
        <v>62.0336</v>
      </c>
      <c r="D24">
        <v>295.928</v>
      </c>
      <c r="E24">
        <v>7360.94</v>
      </c>
      <c r="F24">
        <v>19.061699999999998</v>
      </c>
      <c r="G24">
        <v>64.974999999999994</v>
      </c>
      <c r="H24">
        <v>33.784999999999997</v>
      </c>
      <c r="I24">
        <v>5057.76</v>
      </c>
      <c r="J24">
        <v>33.831200000000003</v>
      </c>
      <c r="L24">
        <f t="shared" si="0"/>
        <v>12965.703300000001</v>
      </c>
      <c r="M24">
        <f t="shared" si="1"/>
        <v>0.56772392747873535</v>
      </c>
      <c r="N24">
        <f t="shared" si="2"/>
        <v>0.39008759362864642</v>
      </c>
    </row>
    <row r="25" spans="1:14" x14ac:dyDescent="0.2">
      <c r="A25">
        <v>3925</v>
      </c>
      <c r="B25">
        <v>32.116100000000003</v>
      </c>
      <c r="C25">
        <v>65.907399999999996</v>
      </c>
      <c r="D25">
        <v>291.76400000000001</v>
      </c>
      <c r="E25">
        <v>7306.42</v>
      </c>
      <c r="F25">
        <v>14.4353</v>
      </c>
      <c r="G25">
        <v>62.139200000000002</v>
      </c>
      <c r="H25">
        <v>45.720300000000002</v>
      </c>
      <c r="I25">
        <v>5098.3500000000004</v>
      </c>
      <c r="J25">
        <v>31.801300000000001</v>
      </c>
      <c r="L25">
        <f t="shared" si="0"/>
        <v>12948.6536</v>
      </c>
      <c r="M25">
        <f t="shared" si="1"/>
        <v>0.56426098231556676</v>
      </c>
      <c r="N25">
        <f t="shared" si="2"/>
        <v>0.3937359170686287</v>
      </c>
    </row>
    <row r="26" spans="1:14" x14ac:dyDescent="0.2">
      <c r="A26">
        <v>4077</v>
      </c>
      <c r="B26">
        <v>39.1096</v>
      </c>
      <c r="C26">
        <v>69.442499999999995</v>
      </c>
      <c r="D26">
        <v>294.19900000000001</v>
      </c>
      <c r="E26">
        <v>7358.67</v>
      </c>
      <c r="F26">
        <v>24.875699999999998</v>
      </c>
      <c r="G26">
        <v>76.174999999999997</v>
      </c>
      <c r="H26">
        <v>34.451999999999998</v>
      </c>
      <c r="I26">
        <v>5075.28</v>
      </c>
      <c r="J26">
        <v>41.584499999999998</v>
      </c>
      <c r="L26">
        <f t="shared" si="0"/>
        <v>13013.7883</v>
      </c>
      <c r="M26">
        <f t="shared" si="1"/>
        <v>0.56545179853586525</v>
      </c>
      <c r="N26">
        <f t="shared" si="2"/>
        <v>0.38999251278737951</v>
      </c>
    </row>
    <row r="27" spans="1:14" x14ac:dyDescent="0.2">
      <c r="A27">
        <v>4229</v>
      </c>
      <c r="B27">
        <v>40.041899999999998</v>
      </c>
      <c r="C27">
        <v>65.117599999999996</v>
      </c>
      <c r="D27">
        <v>294.22199999999998</v>
      </c>
      <c r="E27">
        <v>7275.75</v>
      </c>
      <c r="F27">
        <v>22.8247</v>
      </c>
      <c r="G27">
        <v>67.684799999999996</v>
      </c>
      <c r="H27">
        <v>39.225200000000001</v>
      </c>
      <c r="I27">
        <v>5090.59</v>
      </c>
      <c r="J27">
        <v>42.662100000000002</v>
      </c>
      <c r="L27">
        <f t="shared" si="0"/>
        <v>12938.1183</v>
      </c>
      <c r="M27">
        <f t="shared" si="1"/>
        <v>0.56234993615725404</v>
      </c>
      <c r="N27">
        <f t="shared" si="2"/>
        <v>0.39345675174418526</v>
      </c>
    </row>
    <row r="28" spans="1:14" x14ac:dyDescent="0.2">
      <c r="A28">
        <v>4381</v>
      </c>
      <c r="B28">
        <v>46.873699999999999</v>
      </c>
      <c r="C28">
        <v>64.408199999999994</v>
      </c>
      <c r="D28">
        <v>296.63799999999998</v>
      </c>
      <c r="E28">
        <v>7239.68</v>
      </c>
      <c r="F28">
        <v>24.265699999999999</v>
      </c>
      <c r="G28">
        <v>68.611800000000002</v>
      </c>
      <c r="H28">
        <v>41.2226</v>
      </c>
      <c r="I28">
        <v>5020.82</v>
      </c>
      <c r="J28">
        <v>34.416200000000003</v>
      </c>
      <c r="L28">
        <f t="shared" si="0"/>
        <v>12836.9362</v>
      </c>
      <c r="M28">
        <f t="shared" si="1"/>
        <v>0.5639725778180622</v>
      </c>
      <c r="N28">
        <f t="shared" si="2"/>
        <v>0.39112292230602497</v>
      </c>
    </row>
    <row r="29" spans="1:14" x14ac:dyDescent="0.2">
      <c r="A29">
        <v>4533</v>
      </c>
      <c r="B29">
        <v>31.557200000000002</v>
      </c>
      <c r="C29">
        <v>72.626499999999993</v>
      </c>
      <c r="D29">
        <v>307.67099999999999</v>
      </c>
      <c r="E29">
        <v>7288.56</v>
      </c>
      <c r="F29">
        <v>21.8749</v>
      </c>
      <c r="G29">
        <v>72.8613</v>
      </c>
      <c r="H29">
        <v>33.054299999999998</v>
      </c>
      <c r="I29">
        <v>5038.72</v>
      </c>
      <c r="J29">
        <v>34.750999999999998</v>
      </c>
      <c r="L29">
        <f t="shared" si="0"/>
        <v>12901.6762</v>
      </c>
      <c r="M29">
        <f t="shared" si="1"/>
        <v>0.56493124513541892</v>
      </c>
      <c r="N29">
        <f t="shared" si="2"/>
        <v>0.39054770263107363</v>
      </c>
    </row>
    <row r="30" spans="1:14" x14ac:dyDescent="0.2">
      <c r="A30">
        <v>4684</v>
      </c>
      <c r="B30">
        <v>37.272799999999997</v>
      </c>
      <c r="C30">
        <v>57.1601</v>
      </c>
      <c r="D30">
        <v>302.26799999999997</v>
      </c>
      <c r="E30">
        <v>7390.36</v>
      </c>
      <c r="F30">
        <v>25.4908</v>
      </c>
      <c r="G30">
        <v>71.566599999999994</v>
      </c>
      <c r="H30">
        <v>31.890699999999999</v>
      </c>
      <c r="I30">
        <v>5051.37</v>
      </c>
      <c r="J30">
        <v>28.338699999999999</v>
      </c>
      <c r="L30">
        <f t="shared" si="0"/>
        <v>12995.717699999999</v>
      </c>
      <c r="M30">
        <f t="shared" si="1"/>
        <v>0.56867655720160804</v>
      </c>
      <c r="N30">
        <f t="shared" si="2"/>
        <v>0.38869496218742888</v>
      </c>
    </row>
    <row r="31" spans="1:14" x14ac:dyDescent="0.2">
      <c r="A31">
        <v>4836</v>
      </c>
      <c r="B31">
        <v>34.519799999999996</v>
      </c>
      <c r="C31">
        <v>66.056700000000006</v>
      </c>
      <c r="D31">
        <v>306.79899999999998</v>
      </c>
      <c r="E31">
        <v>7325.25</v>
      </c>
      <c r="F31">
        <v>20.5002</v>
      </c>
      <c r="G31">
        <v>64.045400000000001</v>
      </c>
      <c r="H31">
        <v>31.182600000000001</v>
      </c>
      <c r="I31">
        <v>5057.74</v>
      </c>
      <c r="J31">
        <v>32.675699999999999</v>
      </c>
      <c r="L31">
        <f t="shared" si="0"/>
        <v>12938.769400000001</v>
      </c>
      <c r="M31">
        <f t="shared" si="1"/>
        <v>0.56614734937620881</v>
      </c>
      <c r="N31">
        <f t="shared" si="2"/>
        <v>0.39089807103293761</v>
      </c>
    </row>
    <row r="32" spans="1:14" x14ac:dyDescent="0.2">
      <c r="A32">
        <v>4988</v>
      </c>
      <c r="B32">
        <v>32.225299999999997</v>
      </c>
      <c r="C32">
        <v>56.323099999999997</v>
      </c>
      <c r="D32">
        <v>309.68</v>
      </c>
      <c r="E32">
        <v>7365.88</v>
      </c>
      <c r="F32">
        <v>19.924399999999999</v>
      </c>
      <c r="G32">
        <v>71.621300000000005</v>
      </c>
      <c r="H32">
        <v>41.669600000000003</v>
      </c>
      <c r="I32">
        <v>5072.66</v>
      </c>
      <c r="J32">
        <v>35.242600000000003</v>
      </c>
      <c r="L32">
        <f t="shared" si="0"/>
        <v>13005.2263</v>
      </c>
      <c r="M32">
        <f t="shared" si="1"/>
        <v>0.56637845663631392</v>
      </c>
      <c r="N32">
        <f t="shared" si="2"/>
        <v>0.39004780716503179</v>
      </c>
    </row>
    <row r="33" spans="1:14" x14ac:dyDescent="0.2">
      <c r="A33">
        <v>5140</v>
      </c>
      <c r="B33">
        <v>31.503</v>
      </c>
      <c r="C33">
        <v>70.930899999999994</v>
      </c>
      <c r="D33">
        <v>309.57400000000001</v>
      </c>
      <c r="E33">
        <v>7276.4</v>
      </c>
      <c r="F33">
        <v>20.510200000000001</v>
      </c>
      <c r="G33">
        <v>68.923100000000005</v>
      </c>
      <c r="H33">
        <v>35.907200000000003</v>
      </c>
      <c r="I33">
        <v>5039.57</v>
      </c>
      <c r="J33">
        <v>41.401699999999998</v>
      </c>
      <c r="L33">
        <f t="shared" si="0"/>
        <v>12894.720099999999</v>
      </c>
      <c r="M33">
        <f t="shared" si="1"/>
        <v>0.56429297755753538</v>
      </c>
      <c r="N33">
        <f t="shared" si="2"/>
        <v>0.39082430335188123</v>
      </c>
    </row>
    <row r="34" spans="1:14" x14ac:dyDescent="0.2">
      <c r="A34">
        <v>5292</v>
      </c>
      <c r="B34">
        <v>39.371699999999997</v>
      </c>
      <c r="C34">
        <v>69.162700000000001</v>
      </c>
      <c r="D34">
        <v>314.39400000000001</v>
      </c>
      <c r="E34">
        <v>7225.29</v>
      </c>
      <c r="F34">
        <v>24.668099999999999</v>
      </c>
      <c r="G34">
        <v>63.945599999999999</v>
      </c>
      <c r="H34">
        <v>35.005200000000002</v>
      </c>
      <c r="I34">
        <v>5014.41</v>
      </c>
      <c r="J34">
        <v>48.467399999999998</v>
      </c>
      <c r="L34">
        <f t="shared" si="0"/>
        <v>12834.714699999999</v>
      </c>
      <c r="M34">
        <f t="shared" si="1"/>
        <v>0.56294901514250262</v>
      </c>
      <c r="N34">
        <f t="shared" si="2"/>
        <v>0.39069119315912804</v>
      </c>
    </row>
    <row r="35" spans="1:14" x14ac:dyDescent="0.2">
      <c r="A35">
        <v>5444</v>
      </c>
      <c r="B35">
        <v>49.061399999999999</v>
      </c>
      <c r="C35">
        <v>53.809199999999997</v>
      </c>
      <c r="D35">
        <v>305.04300000000001</v>
      </c>
      <c r="E35">
        <v>7335.81</v>
      </c>
      <c r="F35">
        <v>19.3613</v>
      </c>
      <c r="G35">
        <v>66.988399999999999</v>
      </c>
      <c r="H35">
        <v>48.660299999999999</v>
      </c>
      <c r="I35">
        <v>5073.6499999999996</v>
      </c>
      <c r="J35">
        <v>39.433700000000002</v>
      </c>
      <c r="L35">
        <f t="shared" si="0"/>
        <v>12991.817299999999</v>
      </c>
      <c r="M35">
        <f t="shared" si="1"/>
        <v>0.5646484883989249</v>
      </c>
      <c r="N35">
        <f t="shared" si="2"/>
        <v>0.39052658168153276</v>
      </c>
    </row>
    <row r="36" spans="1:14" x14ac:dyDescent="0.2">
      <c r="A36">
        <v>5595</v>
      </c>
      <c r="B36">
        <v>46.403599999999997</v>
      </c>
      <c r="C36">
        <v>65.563000000000002</v>
      </c>
      <c r="D36">
        <v>304.10899999999998</v>
      </c>
      <c r="E36">
        <v>7338.57</v>
      </c>
      <c r="F36">
        <v>19.104199999999999</v>
      </c>
      <c r="G36">
        <v>86.168499999999995</v>
      </c>
      <c r="H36">
        <v>38.208399999999997</v>
      </c>
      <c r="I36">
        <v>5096.45</v>
      </c>
      <c r="J36">
        <v>31.3902</v>
      </c>
      <c r="L36">
        <f t="shared" si="0"/>
        <v>13025.966899999999</v>
      </c>
      <c r="M36">
        <f t="shared" si="1"/>
        <v>0.56338005894978893</v>
      </c>
      <c r="N36">
        <f t="shared" si="2"/>
        <v>0.39125310536448549</v>
      </c>
    </row>
    <row r="37" spans="1:14" x14ac:dyDescent="0.2">
      <c r="A37">
        <v>5747</v>
      </c>
      <c r="B37">
        <v>40.906500000000001</v>
      </c>
      <c r="C37">
        <v>61.365299999999998</v>
      </c>
      <c r="D37">
        <v>311.00700000000001</v>
      </c>
      <c r="E37">
        <v>7257.91</v>
      </c>
      <c r="F37">
        <v>20.226099999999999</v>
      </c>
      <c r="G37">
        <v>57.889499999999998</v>
      </c>
      <c r="H37">
        <v>40.931399999999996</v>
      </c>
      <c r="I37">
        <v>5019.21</v>
      </c>
      <c r="J37">
        <v>37.0837</v>
      </c>
      <c r="L37">
        <f t="shared" si="0"/>
        <v>12846.529500000001</v>
      </c>
      <c r="M37">
        <f t="shared" si="1"/>
        <v>0.56497048483016366</v>
      </c>
      <c r="N37">
        <f t="shared" si="2"/>
        <v>0.39070552089574073</v>
      </c>
    </row>
    <row r="38" spans="1:14" x14ac:dyDescent="0.2">
      <c r="A38">
        <v>5899</v>
      </c>
      <c r="B38">
        <v>27.570799999999998</v>
      </c>
      <c r="C38">
        <v>71.783100000000005</v>
      </c>
      <c r="D38">
        <v>316.94600000000003</v>
      </c>
      <c r="E38">
        <v>7359.73</v>
      </c>
      <c r="F38">
        <v>19.4725</v>
      </c>
      <c r="G38">
        <v>64.005799999999994</v>
      </c>
      <c r="H38">
        <v>32.894599999999997</v>
      </c>
      <c r="I38">
        <v>5033.92</v>
      </c>
      <c r="J38">
        <v>34.683500000000002</v>
      </c>
      <c r="L38">
        <f t="shared" si="0"/>
        <v>12961.006299999997</v>
      </c>
      <c r="M38">
        <f t="shared" ref="M38:M73" si="3">E38/L38</f>
        <v>0.56783631067288354</v>
      </c>
      <c r="N38">
        <f t="shared" ref="N38:N73" si="4">I38/L38</f>
        <v>0.38838959595290073</v>
      </c>
    </row>
    <row r="39" spans="1:14" x14ac:dyDescent="0.2">
      <c r="A39">
        <v>6051</v>
      </c>
      <c r="B39">
        <v>32.072499999999998</v>
      </c>
      <c r="C39">
        <v>69.727199999999996</v>
      </c>
      <c r="D39">
        <v>309.55700000000002</v>
      </c>
      <c r="E39">
        <v>7226.45</v>
      </c>
      <c r="F39">
        <v>15.017899999999999</v>
      </c>
      <c r="G39">
        <v>60.456099999999999</v>
      </c>
      <c r="H39">
        <v>36.300800000000002</v>
      </c>
      <c r="I39">
        <v>5041.25</v>
      </c>
      <c r="J39">
        <v>27.9603</v>
      </c>
      <c r="L39">
        <f t="shared" si="0"/>
        <v>12818.791800000001</v>
      </c>
      <c r="M39">
        <f t="shared" si="3"/>
        <v>0.56373877606780376</v>
      </c>
      <c r="N39">
        <f t="shared" si="4"/>
        <v>0.39327029244674988</v>
      </c>
    </row>
    <row r="40" spans="1:14" x14ac:dyDescent="0.2">
      <c r="A40">
        <v>6203</v>
      </c>
      <c r="B40">
        <v>34.180500000000002</v>
      </c>
      <c r="C40">
        <v>65.160200000000003</v>
      </c>
      <c r="D40">
        <v>316.63600000000002</v>
      </c>
      <c r="E40">
        <v>7348.65</v>
      </c>
      <c r="F40">
        <v>15.2643</v>
      </c>
      <c r="G40">
        <v>74.766000000000005</v>
      </c>
      <c r="H40">
        <v>32.125</v>
      </c>
      <c r="I40">
        <v>5081.93</v>
      </c>
      <c r="J40">
        <v>31.768699999999999</v>
      </c>
      <c r="L40">
        <f t="shared" si="0"/>
        <v>13000.4807</v>
      </c>
      <c r="M40">
        <f t="shared" si="3"/>
        <v>0.56525986766012426</v>
      </c>
      <c r="N40">
        <f t="shared" si="4"/>
        <v>0.39090323790873366</v>
      </c>
    </row>
    <row r="41" spans="1:14" x14ac:dyDescent="0.2">
      <c r="A41">
        <v>6355</v>
      </c>
      <c r="B41">
        <v>46.746000000000002</v>
      </c>
      <c r="C41">
        <v>67.264700000000005</v>
      </c>
      <c r="D41">
        <v>318.702</v>
      </c>
      <c r="E41">
        <v>7398.26</v>
      </c>
      <c r="F41">
        <v>16.6843</v>
      </c>
      <c r="G41">
        <v>61.33</v>
      </c>
      <c r="H41">
        <v>35.972200000000001</v>
      </c>
      <c r="I41">
        <v>5088.3100000000004</v>
      </c>
      <c r="J41">
        <v>43.127499999999998</v>
      </c>
      <c r="L41">
        <f t="shared" si="0"/>
        <v>13076.396700000001</v>
      </c>
      <c r="M41">
        <f t="shared" si="3"/>
        <v>0.56577206777460332</v>
      </c>
      <c r="N41">
        <f t="shared" si="4"/>
        <v>0.38912172188841593</v>
      </c>
    </row>
    <row r="42" spans="1:14" x14ac:dyDescent="0.2">
      <c r="A42">
        <v>6506</v>
      </c>
      <c r="B42">
        <v>38.191499999999998</v>
      </c>
      <c r="C42">
        <v>63.4026</v>
      </c>
      <c r="D42">
        <v>309.20499999999998</v>
      </c>
      <c r="E42">
        <v>7226.66</v>
      </c>
      <c r="F42">
        <v>21.828299999999999</v>
      </c>
      <c r="G42">
        <v>57.204500000000003</v>
      </c>
      <c r="H42">
        <v>35.860999999999997</v>
      </c>
      <c r="I42">
        <v>4991.01</v>
      </c>
      <c r="J42">
        <v>42.824399999999997</v>
      </c>
      <c r="L42">
        <f t="shared" si="0"/>
        <v>12786.1873</v>
      </c>
      <c r="M42">
        <f t="shared" si="3"/>
        <v>0.56519272168021506</v>
      </c>
      <c r="N42">
        <f t="shared" si="4"/>
        <v>0.39034388304322748</v>
      </c>
    </row>
    <row r="43" spans="1:14" x14ac:dyDescent="0.2">
      <c r="A43">
        <v>6658</v>
      </c>
      <c r="B43">
        <v>26.6252</v>
      </c>
      <c r="C43">
        <v>66.7042</v>
      </c>
      <c r="D43">
        <v>310.678</v>
      </c>
      <c r="E43">
        <v>7233.82</v>
      </c>
      <c r="F43">
        <v>11.1843</v>
      </c>
      <c r="G43">
        <v>60.341299999999997</v>
      </c>
      <c r="H43">
        <v>36.952199999999998</v>
      </c>
      <c r="I43">
        <v>5031.3900000000003</v>
      </c>
      <c r="J43">
        <v>39.975700000000003</v>
      </c>
      <c r="L43">
        <f t="shared" si="0"/>
        <v>12817.670900000001</v>
      </c>
      <c r="M43">
        <f t="shared" si="3"/>
        <v>0.56436306224713562</v>
      </c>
      <c r="N43">
        <f t="shared" si="4"/>
        <v>0.39253543325098167</v>
      </c>
    </row>
    <row r="44" spans="1:14" x14ac:dyDescent="0.2">
      <c r="A44">
        <v>6810</v>
      </c>
      <c r="B44">
        <v>40.070999999999998</v>
      </c>
      <c r="C44">
        <v>59.3842</v>
      </c>
      <c r="D44">
        <v>297.55200000000002</v>
      </c>
      <c r="E44">
        <v>7304.88</v>
      </c>
      <c r="F44">
        <v>19.897200000000002</v>
      </c>
      <c r="G44">
        <v>64.171499999999995</v>
      </c>
      <c r="H44">
        <v>43.173900000000003</v>
      </c>
      <c r="I44">
        <v>5037.22</v>
      </c>
      <c r="J44">
        <v>44.848300000000002</v>
      </c>
      <c r="L44">
        <f t="shared" si="0"/>
        <v>12911.1981</v>
      </c>
      <c r="M44">
        <f t="shared" si="3"/>
        <v>0.56577863211625579</v>
      </c>
      <c r="N44">
        <f t="shared" si="4"/>
        <v>0.39014349876639259</v>
      </c>
    </row>
    <row r="45" spans="1:14" x14ac:dyDescent="0.2">
      <c r="A45">
        <v>6962</v>
      </c>
      <c r="B45">
        <v>35.186799999999998</v>
      </c>
      <c r="C45">
        <v>73.137</v>
      </c>
      <c r="D45">
        <v>316.53500000000003</v>
      </c>
      <c r="E45">
        <v>7353.74</v>
      </c>
      <c r="F45">
        <v>20.752400000000002</v>
      </c>
      <c r="G45">
        <v>64.321299999999994</v>
      </c>
      <c r="H45">
        <v>35.614800000000002</v>
      </c>
      <c r="I45">
        <v>5017.71</v>
      </c>
      <c r="J45">
        <v>33.578699999999998</v>
      </c>
      <c r="L45">
        <f t="shared" si="0"/>
        <v>12950.575999999999</v>
      </c>
      <c r="M45">
        <f t="shared" si="3"/>
        <v>0.56783111422997712</v>
      </c>
      <c r="N45">
        <f t="shared" si="4"/>
        <v>0.38745072033861661</v>
      </c>
    </row>
    <row r="46" spans="1:14" x14ac:dyDescent="0.2">
      <c r="A46">
        <v>7114</v>
      </c>
      <c r="B46">
        <v>38.111199999999997</v>
      </c>
      <c r="C46">
        <v>64.251300000000001</v>
      </c>
      <c r="D46">
        <v>315.23599999999999</v>
      </c>
      <c r="E46">
        <v>7342.43</v>
      </c>
      <c r="F46">
        <v>21.955500000000001</v>
      </c>
      <c r="G46">
        <v>66.4893</v>
      </c>
      <c r="H46">
        <v>33.377000000000002</v>
      </c>
      <c r="I46">
        <v>5007.25</v>
      </c>
      <c r="J46">
        <v>40.604500000000002</v>
      </c>
      <c r="L46">
        <f t="shared" si="0"/>
        <v>12929.704800000001</v>
      </c>
      <c r="M46">
        <f t="shared" si="3"/>
        <v>0.56787298036378986</v>
      </c>
      <c r="N46">
        <f t="shared" si="4"/>
        <v>0.38726715555021796</v>
      </c>
    </row>
    <row r="47" spans="1:14" x14ac:dyDescent="0.2">
      <c r="A47">
        <v>7266</v>
      </c>
      <c r="B47">
        <v>35.407800000000002</v>
      </c>
      <c r="C47">
        <v>66.028599999999997</v>
      </c>
      <c r="D47">
        <v>299.26900000000001</v>
      </c>
      <c r="E47">
        <v>7332.51</v>
      </c>
      <c r="F47">
        <v>20.7333</v>
      </c>
      <c r="G47">
        <v>67.974900000000005</v>
      </c>
      <c r="H47">
        <v>35.276299999999999</v>
      </c>
      <c r="I47">
        <v>5056.96</v>
      </c>
      <c r="J47">
        <v>36.482700000000001</v>
      </c>
      <c r="L47">
        <f t="shared" si="0"/>
        <v>12950.642600000001</v>
      </c>
      <c r="M47">
        <f t="shared" si="3"/>
        <v>0.56618889320596333</v>
      </c>
      <c r="N47">
        <f t="shared" si="4"/>
        <v>0.39047946547455487</v>
      </c>
    </row>
    <row r="48" spans="1:14" x14ac:dyDescent="0.2">
      <c r="A48">
        <v>7417</v>
      </c>
      <c r="B48">
        <v>30.4863</v>
      </c>
      <c r="C48">
        <v>57.693899999999999</v>
      </c>
      <c r="D48">
        <v>302.36900000000003</v>
      </c>
      <c r="E48">
        <v>7411.55</v>
      </c>
      <c r="F48">
        <v>21.819400000000002</v>
      </c>
      <c r="G48">
        <v>70.792000000000002</v>
      </c>
      <c r="H48">
        <v>50.428899999999999</v>
      </c>
      <c r="I48">
        <v>5069.42</v>
      </c>
      <c r="J48">
        <v>32.446800000000003</v>
      </c>
      <c r="L48">
        <f t="shared" si="0"/>
        <v>13047.006300000001</v>
      </c>
      <c r="M48">
        <f t="shared" si="3"/>
        <v>0.56806518135888384</v>
      </c>
      <c r="N48">
        <f t="shared" si="4"/>
        <v>0.38855043704546993</v>
      </c>
    </row>
    <row r="49" spans="1:14" x14ac:dyDescent="0.2">
      <c r="A49">
        <v>7569</v>
      </c>
      <c r="B49">
        <v>38.495199999999997</v>
      </c>
      <c r="C49">
        <v>62.488399999999999</v>
      </c>
      <c r="D49">
        <v>306.20699999999999</v>
      </c>
      <c r="E49">
        <v>7272.45</v>
      </c>
      <c r="F49">
        <v>13.6065</v>
      </c>
      <c r="G49">
        <v>58.313600000000001</v>
      </c>
      <c r="H49">
        <v>34.920499999999997</v>
      </c>
      <c r="I49">
        <v>5012.21</v>
      </c>
      <c r="J49">
        <v>36.974699999999999</v>
      </c>
      <c r="L49">
        <f t="shared" si="0"/>
        <v>12835.665900000002</v>
      </c>
      <c r="M49">
        <f t="shared" si="3"/>
        <v>0.56658143462584198</v>
      </c>
      <c r="N49">
        <f t="shared" si="4"/>
        <v>0.39049084317471983</v>
      </c>
    </row>
    <row r="50" spans="1:14" x14ac:dyDescent="0.2">
      <c r="A50">
        <v>7721</v>
      </c>
      <c r="B50">
        <v>37.043500000000002</v>
      </c>
      <c r="C50">
        <v>68.219800000000006</v>
      </c>
      <c r="D50">
        <v>317.51900000000001</v>
      </c>
      <c r="E50">
        <v>7268.28</v>
      </c>
      <c r="F50">
        <v>15.821199999999999</v>
      </c>
      <c r="G50">
        <v>62.2087</v>
      </c>
      <c r="H50">
        <v>42.764499999999998</v>
      </c>
      <c r="I50">
        <v>5032.8100000000004</v>
      </c>
      <c r="J50">
        <v>40.786900000000003</v>
      </c>
      <c r="L50">
        <f t="shared" si="0"/>
        <v>12885.453600000001</v>
      </c>
      <c r="M50">
        <f t="shared" si="3"/>
        <v>0.56406861765425154</v>
      </c>
      <c r="N50">
        <f t="shared" si="4"/>
        <v>0.39058073981966768</v>
      </c>
    </row>
    <row r="51" spans="1:14" x14ac:dyDescent="0.2">
      <c r="A51">
        <v>7873</v>
      </c>
      <c r="B51">
        <v>32.655299999999997</v>
      </c>
      <c r="C51">
        <v>59.313000000000002</v>
      </c>
      <c r="D51">
        <v>313.53800000000001</v>
      </c>
      <c r="E51">
        <v>7338.17</v>
      </c>
      <c r="F51">
        <v>22.926500000000001</v>
      </c>
      <c r="G51">
        <v>63.717300000000002</v>
      </c>
      <c r="H51">
        <v>46.232799999999997</v>
      </c>
      <c r="I51">
        <v>5034.57</v>
      </c>
      <c r="J51">
        <v>37.278100000000002</v>
      </c>
      <c r="L51">
        <f t="shared" si="0"/>
        <v>12948.400999999998</v>
      </c>
      <c r="M51">
        <f t="shared" si="3"/>
        <v>0.5667240302489861</v>
      </c>
      <c r="N51">
        <f t="shared" si="4"/>
        <v>0.38881789342174378</v>
      </c>
    </row>
    <row r="52" spans="1:14" x14ac:dyDescent="0.2">
      <c r="A52">
        <v>8025</v>
      </c>
      <c r="B52">
        <v>38.824599999999997</v>
      </c>
      <c r="C52">
        <v>59.628399999999999</v>
      </c>
      <c r="D52">
        <v>317.49599999999998</v>
      </c>
      <c r="E52">
        <v>7260.08</v>
      </c>
      <c r="F52">
        <v>15.3607</v>
      </c>
      <c r="G52">
        <v>66.548000000000002</v>
      </c>
      <c r="H52">
        <v>39.355899999999998</v>
      </c>
      <c r="I52">
        <v>5062.67</v>
      </c>
      <c r="J52">
        <v>44.427199999999999</v>
      </c>
      <c r="L52">
        <f t="shared" si="0"/>
        <v>12904.390799999999</v>
      </c>
      <c r="M52">
        <f t="shared" si="3"/>
        <v>0.56260540404588488</v>
      </c>
      <c r="N52">
        <f t="shared" si="4"/>
        <v>0.39232150346841638</v>
      </c>
    </row>
    <row r="53" spans="1:14" x14ac:dyDescent="0.2">
      <c r="A53">
        <v>8177</v>
      </c>
      <c r="B53">
        <v>40.421300000000002</v>
      </c>
      <c r="C53">
        <v>63.2074</v>
      </c>
      <c r="D53">
        <v>303.649</v>
      </c>
      <c r="E53">
        <v>7264.02</v>
      </c>
      <c r="F53">
        <v>17.1309</v>
      </c>
      <c r="G53">
        <v>74.100200000000001</v>
      </c>
      <c r="H53">
        <v>44.002600000000001</v>
      </c>
      <c r="I53">
        <v>5011.9799999999996</v>
      </c>
      <c r="J53">
        <v>41.607100000000003</v>
      </c>
      <c r="L53">
        <f t="shared" si="0"/>
        <v>12860.118499999999</v>
      </c>
      <c r="M53">
        <f t="shared" si="3"/>
        <v>0.56484860539970927</v>
      </c>
      <c r="N53">
        <f t="shared" si="4"/>
        <v>0.38973046788021432</v>
      </c>
    </row>
    <row r="54" spans="1:14" x14ac:dyDescent="0.2">
      <c r="A54">
        <v>8329</v>
      </c>
      <c r="B54">
        <v>47.139200000000002</v>
      </c>
      <c r="C54">
        <v>65.849100000000007</v>
      </c>
      <c r="D54">
        <v>308.33199999999999</v>
      </c>
      <c r="E54">
        <v>7347.85</v>
      </c>
      <c r="F54">
        <v>18.777200000000001</v>
      </c>
      <c r="G54">
        <v>69.316299999999998</v>
      </c>
      <c r="H54">
        <v>42.104599999999998</v>
      </c>
      <c r="I54">
        <v>5002.22</v>
      </c>
      <c r="J54">
        <v>39.169800000000002</v>
      </c>
      <c r="L54">
        <f t="shared" si="0"/>
        <v>12940.7582</v>
      </c>
      <c r="M54">
        <f t="shared" si="3"/>
        <v>0.56780676112161654</v>
      </c>
      <c r="N54">
        <f t="shared" si="4"/>
        <v>0.38654767539045742</v>
      </c>
    </row>
    <row r="55" spans="1:14" x14ac:dyDescent="0.2">
      <c r="A55">
        <v>8480</v>
      </c>
      <c r="B55">
        <v>35.297899999999998</v>
      </c>
      <c r="C55">
        <v>65.953400000000002</v>
      </c>
      <c r="D55">
        <v>325.654</v>
      </c>
      <c r="E55">
        <v>7430.56</v>
      </c>
      <c r="F55">
        <v>16.810199999999998</v>
      </c>
      <c r="G55">
        <v>68.101799999999997</v>
      </c>
      <c r="H55">
        <v>38.560299999999998</v>
      </c>
      <c r="I55">
        <v>5066.83</v>
      </c>
      <c r="J55">
        <v>28.0075</v>
      </c>
      <c r="L55">
        <f t="shared" si="0"/>
        <v>13075.775100000001</v>
      </c>
      <c r="M55">
        <f t="shared" si="3"/>
        <v>0.56826918046334396</v>
      </c>
      <c r="N55">
        <f t="shared" si="4"/>
        <v>0.38749748762503566</v>
      </c>
    </row>
    <row r="56" spans="1:14" x14ac:dyDescent="0.2">
      <c r="A56">
        <v>8632</v>
      </c>
      <c r="B56">
        <v>39.943300000000001</v>
      </c>
      <c r="C56">
        <v>71.662499999999994</v>
      </c>
      <c r="D56">
        <v>315.75</v>
      </c>
      <c r="E56">
        <v>7358.94</v>
      </c>
      <c r="F56">
        <v>13.413600000000001</v>
      </c>
      <c r="G56">
        <v>61.611199999999997</v>
      </c>
      <c r="H56">
        <v>41.304299999999998</v>
      </c>
      <c r="I56">
        <v>5006.91</v>
      </c>
      <c r="J56">
        <v>36.063400000000001</v>
      </c>
      <c r="L56">
        <f t="shared" si="0"/>
        <v>12945.598299999998</v>
      </c>
      <c r="M56">
        <f t="shared" si="3"/>
        <v>0.5684511313779913</v>
      </c>
      <c r="N56">
        <f t="shared" si="4"/>
        <v>0.38676543825711018</v>
      </c>
    </row>
    <row r="57" spans="1:14" x14ac:dyDescent="0.2">
      <c r="A57">
        <v>8784</v>
      </c>
      <c r="B57">
        <v>42.728000000000002</v>
      </c>
      <c r="C57">
        <v>63.681899999999999</v>
      </c>
      <c r="D57">
        <v>308.16500000000002</v>
      </c>
      <c r="E57">
        <v>7244.07</v>
      </c>
      <c r="F57">
        <v>18.1313</v>
      </c>
      <c r="G57">
        <v>56.716799999999999</v>
      </c>
      <c r="H57">
        <v>46.669400000000003</v>
      </c>
      <c r="I57">
        <v>5067.47</v>
      </c>
      <c r="J57">
        <v>43.294899999999998</v>
      </c>
      <c r="L57">
        <f t="shared" si="0"/>
        <v>12890.927299999999</v>
      </c>
      <c r="M57">
        <f t="shared" si="3"/>
        <v>0.56195103978284011</v>
      </c>
      <c r="N57">
        <f t="shared" si="4"/>
        <v>0.39310360551021029</v>
      </c>
    </row>
    <row r="58" spans="1:14" x14ac:dyDescent="0.2">
      <c r="A58">
        <v>8936</v>
      </c>
      <c r="B58">
        <v>38.977800000000002</v>
      </c>
      <c r="C58">
        <v>54.718200000000003</v>
      </c>
      <c r="D58">
        <v>325.61200000000002</v>
      </c>
      <c r="E58">
        <v>7387.99</v>
      </c>
      <c r="F58">
        <v>17.6584</v>
      </c>
      <c r="G58">
        <v>63.241</v>
      </c>
      <c r="H58">
        <v>29.510100000000001</v>
      </c>
      <c r="I58">
        <v>5042.05</v>
      </c>
      <c r="J58">
        <v>39.4754</v>
      </c>
      <c r="L58">
        <f t="shared" si="0"/>
        <v>12999.232899999999</v>
      </c>
      <c r="M58">
        <f t="shared" si="3"/>
        <v>0.56834045953588541</v>
      </c>
      <c r="N58">
        <f t="shared" si="4"/>
        <v>0.38787288748399917</v>
      </c>
    </row>
    <row r="59" spans="1:14" x14ac:dyDescent="0.2">
      <c r="A59">
        <v>9088</v>
      </c>
      <c r="B59">
        <v>31.323799999999999</v>
      </c>
      <c r="C59">
        <v>63.385599999999997</v>
      </c>
      <c r="D59">
        <v>319.86799999999999</v>
      </c>
      <c r="E59">
        <v>7319.46</v>
      </c>
      <c r="F59">
        <v>21.4437</v>
      </c>
      <c r="G59">
        <v>73.955200000000005</v>
      </c>
      <c r="H59">
        <v>39.411799999999999</v>
      </c>
      <c r="I59">
        <v>5047.99</v>
      </c>
      <c r="J59">
        <v>36.6631</v>
      </c>
      <c r="L59">
        <f t="shared" si="0"/>
        <v>12953.501200000001</v>
      </c>
      <c r="M59">
        <f t="shared" si="3"/>
        <v>0.56505649607690622</v>
      </c>
      <c r="N59">
        <f t="shared" si="4"/>
        <v>0.38970081694978337</v>
      </c>
    </row>
    <row r="60" spans="1:14" x14ac:dyDescent="0.2">
      <c r="A60">
        <v>9240</v>
      </c>
      <c r="B60">
        <v>33.515000000000001</v>
      </c>
      <c r="C60">
        <v>56.711500000000001</v>
      </c>
      <c r="D60">
        <v>327.20800000000003</v>
      </c>
      <c r="E60">
        <v>7485.59</v>
      </c>
      <c r="F60">
        <v>17.12</v>
      </c>
      <c r="G60">
        <v>75.728099999999998</v>
      </c>
      <c r="H60">
        <v>31.156500000000001</v>
      </c>
      <c r="I60">
        <v>5073.6499999999996</v>
      </c>
      <c r="J60">
        <v>40.963900000000002</v>
      </c>
      <c r="L60">
        <f t="shared" si="0"/>
        <v>13141.643000000002</v>
      </c>
      <c r="M60">
        <f t="shared" si="3"/>
        <v>0.56960838153950755</v>
      </c>
      <c r="N60">
        <f t="shared" si="4"/>
        <v>0.3860742526638411</v>
      </c>
    </row>
    <row r="61" spans="1:14" x14ac:dyDescent="0.2">
      <c r="A61">
        <v>9391</v>
      </c>
      <c r="B61">
        <v>40.909500000000001</v>
      </c>
      <c r="C61">
        <v>63.8705</v>
      </c>
      <c r="D61">
        <v>317.27600000000001</v>
      </c>
      <c r="E61">
        <v>7344.28</v>
      </c>
      <c r="F61">
        <v>19.8825</v>
      </c>
      <c r="G61">
        <v>67.937600000000003</v>
      </c>
      <c r="H61">
        <v>35.275799999999997</v>
      </c>
      <c r="I61">
        <v>5036.33</v>
      </c>
      <c r="J61">
        <v>31.047499999999999</v>
      </c>
      <c r="L61">
        <f t="shared" si="0"/>
        <v>12956.8094</v>
      </c>
      <c r="M61">
        <f t="shared" si="3"/>
        <v>0.56682781796574078</v>
      </c>
      <c r="N61">
        <f t="shared" si="4"/>
        <v>0.38870140360326672</v>
      </c>
    </row>
    <row r="62" spans="1:14" x14ac:dyDescent="0.2">
      <c r="A62">
        <v>9543</v>
      </c>
      <c r="B62">
        <v>36.712000000000003</v>
      </c>
      <c r="C62">
        <v>62.214100000000002</v>
      </c>
      <c r="D62">
        <v>318.33600000000001</v>
      </c>
      <c r="E62">
        <v>7365.3</v>
      </c>
      <c r="F62">
        <v>17.779299999999999</v>
      </c>
      <c r="G62">
        <v>73.825100000000006</v>
      </c>
      <c r="H62">
        <v>31.4634</v>
      </c>
      <c r="I62">
        <v>5047.75</v>
      </c>
      <c r="J62">
        <v>30.8489</v>
      </c>
      <c r="L62">
        <f t="shared" si="0"/>
        <v>12984.228800000001</v>
      </c>
      <c r="M62">
        <f t="shared" si="3"/>
        <v>0.56724970835387623</v>
      </c>
      <c r="N62">
        <f t="shared" si="4"/>
        <v>0.38876009332183054</v>
      </c>
    </row>
    <row r="63" spans="1:14" x14ac:dyDescent="0.2">
      <c r="A63">
        <v>9695</v>
      </c>
      <c r="B63">
        <v>35.8185</v>
      </c>
      <c r="C63">
        <v>67.843299999999999</v>
      </c>
      <c r="D63">
        <v>314.12900000000002</v>
      </c>
      <c r="E63">
        <v>7250.26</v>
      </c>
      <c r="F63">
        <v>16.657699999999998</v>
      </c>
      <c r="G63">
        <v>69.957099999999997</v>
      </c>
      <c r="H63">
        <v>30.2347</v>
      </c>
      <c r="I63">
        <v>5067.13</v>
      </c>
      <c r="J63">
        <v>41.266100000000002</v>
      </c>
      <c r="L63">
        <f t="shared" si="0"/>
        <v>12893.296399999999</v>
      </c>
      <c r="M63">
        <f t="shared" si="3"/>
        <v>0.5623278776093289</v>
      </c>
      <c r="N63">
        <f t="shared" si="4"/>
        <v>0.39300500374752884</v>
      </c>
    </row>
    <row r="64" spans="1:14" x14ac:dyDescent="0.2">
      <c r="A64">
        <v>9847</v>
      </c>
      <c r="B64">
        <v>42.474699999999999</v>
      </c>
      <c r="C64">
        <v>72.805300000000003</v>
      </c>
      <c r="D64">
        <v>318.93099999999998</v>
      </c>
      <c r="E64">
        <v>7420.38</v>
      </c>
      <c r="F64">
        <v>17.261700000000001</v>
      </c>
      <c r="G64">
        <v>76.741200000000006</v>
      </c>
      <c r="H64">
        <v>40.599899999999998</v>
      </c>
      <c r="I64">
        <v>5074.17</v>
      </c>
      <c r="J64">
        <v>33.6312</v>
      </c>
      <c r="L64">
        <f t="shared" si="0"/>
        <v>13096.995000000001</v>
      </c>
      <c r="M64">
        <f t="shared" si="3"/>
        <v>0.56657118674932683</v>
      </c>
      <c r="N64">
        <f t="shared" si="4"/>
        <v>0.3874300936970656</v>
      </c>
    </row>
    <row r="65" spans="1:14" x14ac:dyDescent="0.2">
      <c r="A65">
        <v>9999</v>
      </c>
      <c r="B65">
        <v>33.592700000000001</v>
      </c>
      <c r="C65">
        <v>67.459000000000003</v>
      </c>
      <c r="D65">
        <v>315.93799999999999</v>
      </c>
      <c r="E65">
        <v>7332.84</v>
      </c>
      <c r="F65">
        <v>13.7624</v>
      </c>
      <c r="G65">
        <v>69.152900000000002</v>
      </c>
      <c r="H65">
        <v>36.611400000000003</v>
      </c>
      <c r="I65">
        <v>5024.6000000000004</v>
      </c>
      <c r="J65">
        <v>39.556100000000001</v>
      </c>
      <c r="L65">
        <f t="shared" si="0"/>
        <v>12933.512499999999</v>
      </c>
      <c r="M65">
        <f t="shared" si="3"/>
        <v>0.56696431073925202</v>
      </c>
      <c r="N65">
        <f t="shared" si="4"/>
        <v>0.38849461814800895</v>
      </c>
    </row>
    <row r="66" spans="1:14" x14ac:dyDescent="0.2">
      <c r="A66">
        <v>10151</v>
      </c>
      <c r="B66">
        <v>33.965600000000002</v>
      </c>
      <c r="C66">
        <v>72.783100000000005</v>
      </c>
      <c r="D66">
        <v>311.767</v>
      </c>
      <c r="E66">
        <v>7323.77</v>
      </c>
      <c r="F66">
        <v>5.3721800000000002</v>
      </c>
      <c r="G66">
        <v>67.948300000000003</v>
      </c>
      <c r="H66">
        <v>36.160800000000002</v>
      </c>
      <c r="I66">
        <v>5000.09</v>
      </c>
      <c r="J66">
        <v>35.236899999999999</v>
      </c>
      <c r="L66">
        <f t="shared" si="0"/>
        <v>12887.09388</v>
      </c>
      <c r="M66">
        <f t="shared" si="3"/>
        <v>0.56830268082131796</v>
      </c>
      <c r="N66">
        <f t="shared" si="4"/>
        <v>0.38799205209173193</v>
      </c>
    </row>
    <row r="67" spans="1:14" x14ac:dyDescent="0.2">
      <c r="A67">
        <v>10302</v>
      </c>
      <c r="B67">
        <v>38.723199999999999</v>
      </c>
      <c r="C67">
        <v>53.261600000000001</v>
      </c>
      <c r="D67">
        <v>314.86500000000001</v>
      </c>
      <c r="E67">
        <v>7322.74</v>
      </c>
      <c r="F67">
        <v>8.1403999999999996</v>
      </c>
      <c r="G67">
        <v>61.744</v>
      </c>
      <c r="H67">
        <v>36.739600000000003</v>
      </c>
      <c r="I67">
        <v>5032.43</v>
      </c>
      <c r="J67">
        <v>32.041200000000003</v>
      </c>
      <c r="L67">
        <f t="shared" ref="L67:L130" si="5">SUM(B67:J67)</f>
        <v>12900.684999999999</v>
      </c>
      <c r="M67">
        <f t="shared" si="3"/>
        <v>0.56762412228497949</v>
      </c>
      <c r="N67">
        <f t="shared" si="4"/>
        <v>0.39009013862442193</v>
      </c>
    </row>
    <row r="68" spans="1:14" x14ac:dyDescent="0.2">
      <c r="A68">
        <v>10454</v>
      </c>
      <c r="B68">
        <v>35.562800000000003</v>
      </c>
      <c r="C68">
        <v>67.177300000000002</v>
      </c>
      <c r="D68">
        <v>308.76</v>
      </c>
      <c r="E68">
        <v>7298.93</v>
      </c>
      <c r="F68">
        <v>10.568300000000001</v>
      </c>
      <c r="G68">
        <v>64.268500000000003</v>
      </c>
      <c r="H68">
        <v>36.116399999999999</v>
      </c>
      <c r="I68">
        <v>5043.92</v>
      </c>
      <c r="J68">
        <v>31.6815</v>
      </c>
      <c r="L68">
        <f t="shared" si="5"/>
        <v>12896.9848</v>
      </c>
      <c r="M68">
        <f t="shared" si="3"/>
        <v>0.56594080811818903</v>
      </c>
      <c r="N68">
        <f t="shared" si="4"/>
        <v>0.39109296306218799</v>
      </c>
    </row>
    <row r="69" spans="1:14" x14ac:dyDescent="0.2">
      <c r="A69">
        <v>10606</v>
      </c>
      <c r="B69">
        <v>29.359500000000001</v>
      </c>
      <c r="C69">
        <v>73.701300000000003</v>
      </c>
      <c r="D69">
        <v>313.41800000000001</v>
      </c>
      <c r="E69">
        <v>7393.45</v>
      </c>
      <c r="F69">
        <v>11.480499999999999</v>
      </c>
      <c r="G69">
        <v>69.839100000000002</v>
      </c>
      <c r="H69">
        <v>35.237499999999997</v>
      </c>
      <c r="I69">
        <v>5038.7299999999996</v>
      </c>
      <c r="J69">
        <v>41.098500000000001</v>
      </c>
      <c r="L69">
        <f t="shared" si="5"/>
        <v>13006.314399999999</v>
      </c>
      <c r="M69">
        <f t="shared" si="3"/>
        <v>0.56845081339875958</v>
      </c>
      <c r="N69">
        <f t="shared" si="4"/>
        <v>0.38740644313503597</v>
      </c>
    </row>
    <row r="70" spans="1:14" x14ac:dyDescent="0.2">
      <c r="A70">
        <v>10758</v>
      </c>
      <c r="B70">
        <v>29.424399999999999</v>
      </c>
      <c r="C70">
        <v>71.360600000000005</v>
      </c>
      <c r="D70">
        <v>305.50900000000001</v>
      </c>
      <c r="E70">
        <v>7299.98</v>
      </c>
      <c r="F70">
        <v>5.6043399999999997</v>
      </c>
      <c r="G70">
        <v>72.906899999999993</v>
      </c>
      <c r="H70">
        <v>34.2913</v>
      </c>
      <c r="I70">
        <v>5009.2</v>
      </c>
      <c r="J70">
        <v>37.524000000000001</v>
      </c>
      <c r="L70">
        <f t="shared" si="5"/>
        <v>12865.800539999998</v>
      </c>
      <c r="M70">
        <f t="shared" si="3"/>
        <v>0.5673941529953177</v>
      </c>
      <c r="N70">
        <f t="shared" si="4"/>
        <v>0.38934227096295404</v>
      </c>
    </row>
    <row r="71" spans="1:14" x14ac:dyDescent="0.2">
      <c r="A71">
        <v>10910</v>
      </c>
      <c r="B71">
        <v>35.430399999999999</v>
      </c>
      <c r="C71">
        <v>64.300200000000004</v>
      </c>
      <c r="D71">
        <v>320.185</v>
      </c>
      <c r="E71">
        <v>7321.7</v>
      </c>
      <c r="F71">
        <v>7.9769800000000002</v>
      </c>
      <c r="G71">
        <v>50.674599999999998</v>
      </c>
      <c r="H71">
        <v>40.482199999999999</v>
      </c>
      <c r="I71">
        <v>5015.84</v>
      </c>
      <c r="J71">
        <v>24.077200000000001</v>
      </c>
      <c r="L71">
        <f t="shared" si="5"/>
        <v>12880.666580000001</v>
      </c>
      <c r="M71">
        <f t="shared" si="3"/>
        <v>0.56842555115653026</v>
      </c>
      <c r="N71">
        <f t="shared" si="4"/>
        <v>0.38940841833357975</v>
      </c>
    </row>
    <row r="72" spans="1:14" x14ac:dyDescent="0.2">
      <c r="A72">
        <v>11062</v>
      </c>
      <c r="B72">
        <v>27.010300000000001</v>
      </c>
      <c r="C72">
        <v>61.087200000000003</v>
      </c>
      <c r="D72">
        <v>322.63299999999998</v>
      </c>
      <c r="E72">
        <v>7295.38</v>
      </c>
      <c r="F72">
        <v>9.9268000000000001</v>
      </c>
      <c r="G72">
        <v>64.762799999999999</v>
      </c>
      <c r="H72">
        <v>36.543999999999997</v>
      </c>
      <c r="I72">
        <v>4965.32</v>
      </c>
      <c r="J72">
        <v>30.135000000000002</v>
      </c>
      <c r="L72">
        <f t="shared" si="5"/>
        <v>12812.7991</v>
      </c>
      <c r="M72">
        <f t="shared" si="3"/>
        <v>0.56938222031437302</v>
      </c>
      <c r="N72">
        <f t="shared" si="4"/>
        <v>0.38752812412394727</v>
      </c>
    </row>
    <row r="73" spans="1:14" x14ac:dyDescent="0.2">
      <c r="A73">
        <v>11213</v>
      </c>
      <c r="B73">
        <v>37.381799999999998</v>
      </c>
      <c r="C73">
        <v>66.012799999999999</v>
      </c>
      <c r="D73">
        <v>305.96899999999999</v>
      </c>
      <c r="E73">
        <v>7430.06</v>
      </c>
      <c r="F73">
        <v>6.4554099999999996</v>
      </c>
      <c r="G73">
        <v>65.712299999999999</v>
      </c>
      <c r="H73">
        <v>40.546599999999998</v>
      </c>
      <c r="I73">
        <v>5065.2</v>
      </c>
      <c r="J73">
        <v>50.364400000000003</v>
      </c>
      <c r="L73">
        <f t="shared" si="5"/>
        <v>13067.702309999999</v>
      </c>
      <c r="M73">
        <f t="shared" si="3"/>
        <v>0.56858197590820392</v>
      </c>
      <c r="N73">
        <f t="shared" si="4"/>
        <v>0.38761213561804808</v>
      </c>
    </row>
    <row r="75" spans="1:14" x14ac:dyDescent="0.2">
      <c r="A75" t="s">
        <v>0</v>
      </c>
      <c r="B75" t="s">
        <v>26</v>
      </c>
      <c r="C75" t="s">
        <v>27</v>
      </c>
      <c r="D75" t="s">
        <v>28</v>
      </c>
      <c r="E75" t="s">
        <v>29</v>
      </c>
      <c r="M75" t="s">
        <v>96</v>
      </c>
    </row>
    <row r="76" spans="1:14" x14ac:dyDescent="0.2">
      <c r="A76">
        <v>433</v>
      </c>
      <c r="B76">
        <v>0.57895300000000005</v>
      </c>
      <c r="C76">
        <v>31.947199999999999</v>
      </c>
      <c r="D76">
        <v>7404.33</v>
      </c>
      <c r="E76">
        <v>20.061</v>
      </c>
      <c r="L76">
        <f t="shared" si="5"/>
        <v>7456.9171529999994</v>
      </c>
      <c r="M76">
        <f>D76/L76</f>
        <v>0.99294786948533509</v>
      </c>
    </row>
    <row r="77" spans="1:14" x14ac:dyDescent="0.2">
      <c r="A77">
        <v>585</v>
      </c>
      <c r="B77">
        <v>23.714400000000001</v>
      </c>
      <c r="C77">
        <v>129.929</v>
      </c>
      <c r="D77">
        <v>7342.44</v>
      </c>
      <c r="E77">
        <v>17.651199999999999</v>
      </c>
      <c r="L77">
        <f t="shared" si="5"/>
        <v>7513.7345999999998</v>
      </c>
      <c r="M77">
        <f t="shared" ref="M77:M140" si="6">D77/L77</f>
        <v>0.9772024686631865</v>
      </c>
    </row>
    <row r="78" spans="1:14" x14ac:dyDescent="0.2">
      <c r="A78">
        <v>737</v>
      </c>
      <c r="B78">
        <v>35.238500000000002</v>
      </c>
      <c r="C78">
        <v>146.80099999999999</v>
      </c>
      <c r="D78">
        <v>7341.19</v>
      </c>
      <c r="E78">
        <v>18.4467</v>
      </c>
      <c r="L78">
        <f t="shared" si="5"/>
        <v>7541.6761999999999</v>
      </c>
      <c r="M78">
        <f t="shared" si="6"/>
        <v>0.97341622807937578</v>
      </c>
    </row>
    <row r="79" spans="1:14" x14ac:dyDescent="0.2">
      <c r="A79">
        <v>889</v>
      </c>
      <c r="B79">
        <v>13.4191</v>
      </c>
      <c r="C79">
        <v>230.059</v>
      </c>
      <c r="D79">
        <v>7386.71</v>
      </c>
      <c r="E79">
        <v>19.450500000000002</v>
      </c>
      <c r="L79">
        <f t="shared" si="5"/>
        <v>7649.6386000000002</v>
      </c>
      <c r="M79">
        <f t="shared" si="6"/>
        <v>0.96562862459933729</v>
      </c>
    </row>
    <row r="80" spans="1:14" x14ac:dyDescent="0.2">
      <c r="A80">
        <v>1040</v>
      </c>
      <c r="B80">
        <v>17.1066</v>
      </c>
      <c r="C80">
        <v>263.19200000000001</v>
      </c>
      <c r="D80">
        <v>7348.45</v>
      </c>
      <c r="E80">
        <v>12.3215</v>
      </c>
      <c r="L80">
        <f t="shared" si="5"/>
        <v>7641.0700999999999</v>
      </c>
      <c r="M80">
        <f t="shared" si="6"/>
        <v>0.96170430369432158</v>
      </c>
    </row>
    <row r="81" spans="1:13" x14ac:dyDescent="0.2">
      <c r="A81">
        <v>1192</v>
      </c>
      <c r="B81">
        <v>10.938499999999999</v>
      </c>
      <c r="C81">
        <v>299.649</v>
      </c>
      <c r="D81">
        <v>7350.11</v>
      </c>
      <c r="E81">
        <v>27.3279</v>
      </c>
      <c r="L81">
        <f t="shared" si="5"/>
        <v>7688.0253999999995</v>
      </c>
      <c r="M81">
        <f t="shared" si="6"/>
        <v>0.95604652919070743</v>
      </c>
    </row>
    <row r="82" spans="1:13" x14ac:dyDescent="0.2">
      <c r="A82">
        <v>1344</v>
      </c>
      <c r="B82">
        <v>21.4009</v>
      </c>
      <c r="C82">
        <v>246.529</v>
      </c>
      <c r="D82">
        <v>7272.17</v>
      </c>
      <c r="E82">
        <v>27.4421</v>
      </c>
      <c r="L82">
        <f t="shared" si="5"/>
        <v>7567.5420000000004</v>
      </c>
      <c r="M82">
        <f t="shared" si="6"/>
        <v>0.96096856812951947</v>
      </c>
    </row>
    <row r="83" spans="1:13" x14ac:dyDescent="0.2">
      <c r="A83">
        <v>1496</v>
      </c>
      <c r="B83">
        <v>34.284599999999998</v>
      </c>
      <c r="C83">
        <v>308.13499999999999</v>
      </c>
      <c r="D83">
        <v>7311.92</v>
      </c>
      <c r="E83">
        <v>14.2666</v>
      </c>
      <c r="L83">
        <f t="shared" si="5"/>
        <v>7668.6062000000002</v>
      </c>
      <c r="M83">
        <f t="shared" si="6"/>
        <v>0.95348747990214966</v>
      </c>
    </row>
    <row r="84" spans="1:13" x14ac:dyDescent="0.2">
      <c r="A84">
        <v>1648</v>
      </c>
      <c r="B84">
        <v>9.8448899999999995</v>
      </c>
      <c r="C84">
        <v>288.40600000000001</v>
      </c>
      <c r="D84">
        <v>7272.86</v>
      </c>
      <c r="E84">
        <v>40.393900000000002</v>
      </c>
      <c r="L84">
        <f t="shared" si="5"/>
        <v>7611.50479</v>
      </c>
      <c r="M84">
        <f t="shared" si="6"/>
        <v>0.95550882521352254</v>
      </c>
    </row>
    <row r="85" spans="1:13" x14ac:dyDescent="0.2">
      <c r="A85">
        <v>1800</v>
      </c>
      <c r="B85">
        <v>37.470100000000002</v>
      </c>
      <c r="C85">
        <v>283.53100000000001</v>
      </c>
      <c r="D85">
        <v>7233.25</v>
      </c>
      <c r="E85">
        <v>15.582000000000001</v>
      </c>
      <c r="L85">
        <f t="shared" si="5"/>
        <v>7569.8331000000007</v>
      </c>
      <c r="M85">
        <f t="shared" si="6"/>
        <v>0.95553625878488646</v>
      </c>
    </row>
    <row r="86" spans="1:13" x14ac:dyDescent="0.2">
      <c r="A86">
        <v>1951</v>
      </c>
      <c r="B86">
        <v>28.437200000000001</v>
      </c>
      <c r="C86">
        <v>332.06</v>
      </c>
      <c r="D86">
        <v>7270.91</v>
      </c>
      <c r="E86">
        <v>14.223599999999999</v>
      </c>
      <c r="L86">
        <f t="shared" si="5"/>
        <v>7645.6307999999999</v>
      </c>
      <c r="M86">
        <f t="shared" si="6"/>
        <v>0.95098889682196008</v>
      </c>
    </row>
    <row r="87" spans="1:13" x14ac:dyDescent="0.2">
      <c r="A87">
        <v>2103</v>
      </c>
      <c r="B87">
        <v>31.758700000000001</v>
      </c>
      <c r="C87">
        <v>307.29500000000002</v>
      </c>
      <c r="D87">
        <v>7212.01</v>
      </c>
      <c r="E87">
        <v>15.664400000000001</v>
      </c>
      <c r="L87">
        <f t="shared" si="5"/>
        <v>7566.7281000000003</v>
      </c>
      <c r="M87">
        <f t="shared" si="6"/>
        <v>0.95312133655232045</v>
      </c>
    </row>
    <row r="88" spans="1:13" x14ac:dyDescent="0.2">
      <c r="A88">
        <v>2255</v>
      </c>
      <c r="B88">
        <v>20.737200000000001</v>
      </c>
      <c r="C88">
        <v>324.82600000000002</v>
      </c>
      <c r="D88">
        <v>7250.17</v>
      </c>
      <c r="E88">
        <v>16.726700000000001</v>
      </c>
      <c r="L88">
        <f t="shared" si="5"/>
        <v>7612.4599000000007</v>
      </c>
      <c r="M88">
        <f t="shared" si="6"/>
        <v>0.95240830102763485</v>
      </c>
    </row>
    <row r="89" spans="1:13" x14ac:dyDescent="0.2">
      <c r="A89">
        <v>2407</v>
      </c>
      <c r="B89">
        <v>23.929200000000002</v>
      </c>
      <c r="C89">
        <v>353.34800000000001</v>
      </c>
      <c r="D89">
        <v>7248.86</v>
      </c>
      <c r="E89">
        <v>35.735799999999998</v>
      </c>
      <c r="L89">
        <f t="shared" si="5"/>
        <v>7661.8729999999996</v>
      </c>
      <c r="M89">
        <f t="shared" si="6"/>
        <v>0.94609503446481036</v>
      </c>
    </row>
    <row r="90" spans="1:13" x14ac:dyDescent="0.2">
      <c r="A90">
        <v>2559</v>
      </c>
      <c r="B90">
        <v>21.354199999999999</v>
      </c>
      <c r="C90">
        <v>309.95499999999998</v>
      </c>
      <c r="D90">
        <v>7152.22</v>
      </c>
      <c r="E90">
        <v>15.398400000000001</v>
      </c>
      <c r="L90">
        <f t="shared" si="5"/>
        <v>7498.9276</v>
      </c>
      <c r="M90">
        <f t="shared" si="6"/>
        <v>0.9537657091128604</v>
      </c>
    </row>
    <row r="91" spans="1:13" x14ac:dyDescent="0.2">
      <c r="A91">
        <v>2711</v>
      </c>
      <c r="B91">
        <v>35.362099999999998</v>
      </c>
      <c r="C91">
        <v>374.45800000000003</v>
      </c>
      <c r="D91">
        <v>7219.59</v>
      </c>
      <c r="E91">
        <v>27.5701</v>
      </c>
      <c r="L91">
        <f t="shared" si="5"/>
        <v>7656.9802</v>
      </c>
      <c r="M91">
        <f t="shared" si="6"/>
        <v>0.94287693208348644</v>
      </c>
    </row>
    <row r="92" spans="1:13" x14ac:dyDescent="0.2">
      <c r="A92">
        <v>2862</v>
      </c>
      <c r="B92">
        <v>29.860600000000002</v>
      </c>
      <c r="C92">
        <v>378.74799999999999</v>
      </c>
      <c r="D92">
        <v>7215.07</v>
      </c>
      <c r="E92">
        <v>25.823599999999999</v>
      </c>
      <c r="L92">
        <f t="shared" si="5"/>
        <v>7649.502199999999</v>
      </c>
      <c r="M92">
        <f t="shared" si="6"/>
        <v>0.94320778154688301</v>
      </c>
    </row>
    <row r="93" spans="1:13" x14ac:dyDescent="0.2">
      <c r="A93">
        <v>3014</v>
      </c>
      <c r="B93">
        <v>26.3642</v>
      </c>
      <c r="C93">
        <v>370.52600000000001</v>
      </c>
      <c r="D93">
        <v>7199.85</v>
      </c>
      <c r="E93">
        <v>18.715800000000002</v>
      </c>
      <c r="L93">
        <f t="shared" si="5"/>
        <v>7615.4560000000001</v>
      </c>
      <c r="M93">
        <f t="shared" si="6"/>
        <v>0.94542598630994656</v>
      </c>
    </row>
    <row r="94" spans="1:13" x14ac:dyDescent="0.2">
      <c r="A94">
        <v>3166</v>
      </c>
      <c r="B94">
        <v>65.408600000000007</v>
      </c>
      <c r="C94">
        <v>364.04500000000002</v>
      </c>
      <c r="D94">
        <v>7212.25</v>
      </c>
      <c r="E94">
        <v>19.910399999999999</v>
      </c>
      <c r="L94">
        <f t="shared" si="5"/>
        <v>7661.6139999999996</v>
      </c>
      <c r="M94">
        <f t="shared" si="6"/>
        <v>0.94134865055848549</v>
      </c>
    </row>
    <row r="95" spans="1:13" x14ac:dyDescent="0.2">
      <c r="A95">
        <v>3318</v>
      </c>
      <c r="B95">
        <v>47.244999999999997</v>
      </c>
      <c r="C95">
        <v>397.90800000000002</v>
      </c>
      <c r="D95">
        <v>7222.92</v>
      </c>
      <c r="E95">
        <v>15.900600000000001</v>
      </c>
      <c r="L95">
        <f t="shared" si="5"/>
        <v>7683.9736000000003</v>
      </c>
      <c r="M95">
        <f t="shared" si="6"/>
        <v>0.93999802393907228</v>
      </c>
    </row>
    <row r="96" spans="1:13" x14ac:dyDescent="0.2">
      <c r="A96">
        <v>3470</v>
      </c>
      <c r="B96">
        <v>33.820599999999999</v>
      </c>
      <c r="C96">
        <v>383.46499999999997</v>
      </c>
      <c r="D96">
        <v>7222.32</v>
      </c>
      <c r="E96">
        <v>17.711600000000001</v>
      </c>
      <c r="L96">
        <f t="shared" si="5"/>
        <v>7657.3171999999995</v>
      </c>
      <c r="M96">
        <f t="shared" si="6"/>
        <v>0.9431919576219201</v>
      </c>
    </row>
    <row r="97" spans="1:13" x14ac:dyDescent="0.2">
      <c r="A97">
        <v>3622</v>
      </c>
      <c r="B97">
        <v>42.946300000000001</v>
      </c>
      <c r="C97">
        <v>363.464</v>
      </c>
      <c r="D97">
        <v>7182.47</v>
      </c>
      <c r="E97">
        <v>13.585699999999999</v>
      </c>
      <c r="L97">
        <f t="shared" si="5"/>
        <v>7602.4660000000003</v>
      </c>
      <c r="M97">
        <f t="shared" si="6"/>
        <v>0.94475529387438228</v>
      </c>
    </row>
    <row r="98" spans="1:13" x14ac:dyDescent="0.2">
      <c r="A98">
        <v>3773</v>
      </c>
      <c r="B98">
        <v>17.497</v>
      </c>
      <c r="C98">
        <v>350.34100000000001</v>
      </c>
      <c r="D98">
        <v>7157.34</v>
      </c>
      <c r="E98">
        <v>21.481999999999999</v>
      </c>
      <c r="L98">
        <f t="shared" si="5"/>
        <v>7546.66</v>
      </c>
      <c r="M98">
        <f t="shared" si="6"/>
        <v>0.94841161520460715</v>
      </c>
    </row>
    <row r="99" spans="1:13" x14ac:dyDescent="0.2">
      <c r="A99">
        <v>3925</v>
      </c>
      <c r="B99">
        <v>22.671600000000002</v>
      </c>
      <c r="C99">
        <v>389.03699999999998</v>
      </c>
      <c r="D99">
        <v>7195.93</v>
      </c>
      <c r="E99">
        <v>16.3461</v>
      </c>
      <c r="L99">
        <f t="shared" si="5"/>
        <v>7623.9847</v>
      </c>
      <c r="M99">
        <f t="shared" si="6"/>
        <v>0.94385420264550113</v>
      </c>
    </row>
    <row r="100" spans="1:13" x14ac:dyDescent="0.2">
      <c r="A100">
        <v>4077</v>
      </c>
      <c r="B100">
        <v>42.9255</v>
      </c>
      <c r="C100">
        <v>398.47399999999999</v>
      </c>
      <c r="D100">
        <v>7172.05</v>
      </c>
      <c r="E100">
        <v>24.894100000000002</v>
      </c>
      <c r="L100">
        <f t="shared" si="5"/>
        <v>7638.3436000000011</v>
      </c>
      <c r="M100">
        <f t="shared" si="6"/>
        <v>0.93895357103338462</v>
      </c>
    </row>
    <row r="101" spans="1:13" x14ac:dyDescent="0.2">
      <c r="A101">
        <v>4229</v>
      </c>
      <c r="B101">
        <v>4.8575400000000002</v>
      </c>
      <c r="C101">
        <v>345.34500000000003</v>
      </c>
      <c r="D101">
        <v>7113.79</v>
      </c>
      <c r="E101">
        <v>21.834800000000001</v>
      </c>
      <c r="L101">
        <f t="shared" si="5"/>
        <v>7485.8273399999998</v>
      </c>
      <c r="M101">
        <f t="shared" si="6"/>
        <v>0.95030110592959527</v>
      </c>
    </row>
    <row r="102" spans="1:13" x14ac:dyDescent="0.2">
      <c r="A102">
        <v>4381</v>
      </c>
      <c r="B102">
        <v>35.704700000000003</v>
      </c>
      <c r="C102">
        <v>390.94</v>
      </c>
      <c r="D102">
        <v>7180.85</v>
      </c>
      <c r="E102">
        <v>11.592599999999999</v>
      </c>
      <c r="L102">
        <f t="shared" si="5"/>
        <v>7619.0873000000001</v>
      </c>
      <c r="M102">
        <f t="shared" si="6"/>
        <v>0.94248165393773609</v>
      </c>
    </row>
    <row r="103" spans="1:13" x14ac:dyDescent="0.2">
      <c r="A103">
        <v>4533</v>
      </c>
      <c r="B103">
        <v>28.8522</v>
      </c>
      <c r="C103">
        <v>360.86</v>
      </c>
      <c r="D103">
        <v>7139.19</v>
      </c>
      <c r="E103">
        <v>12.2188</v>
      </c>
      <c r="L103">
        <f t="shared" si="5"/>
        <v>7541.1209999999992</v>
      </c>
      <c r="M103">
        <f t="shared" si="6"/>
        <v>0.94670142542468161</v>
      </c>
    </row>
    <row r="104" spans="1:13" x14ac:dyDescent="0.2">
      <c r="A104">
        <v>4684</v>
      </c>
      <c r="B104">
        <v>36.8277</v>
      </c>
      <c r="C104">
        <v>362.79700000000003</v>
      </c>
      <c r="D104">
        <v>7106.76</v>
      </c>
      <c r="E104">
        <v>18.709</v>
      </c>
      <c r="L104">
        <f t="shared" si="5"/>
        <v>7525.0937000000004</v>
      </c>
      <c r="M104">
        <f t="shared" si="6"/>
        <v>0.94440817394738885</v>
      </c>
    </row>
    <row r="105" spans="1:13" x14ac:dyDescent="0.2">
      <c r="A105">
        <v>4836</v>
      </c>
      <c r="B105">
        <v>28.148399999999999</v>
      </c>
      <c r="C105">
        <v>400.55700000000002</v>
      </c>
      <c r="D105">
        <v>7182.61</v>
      </c>
      <c r="E105">
        <v>14.7776</v>
      </c>
      <c r="L105">
        <f t="shared" si="5"/>
        <v>7626.0929999999998</v>
      </c>
      <c r="M105">
        <f t="shared" si="6"/>
        <v>0.94184663103374167</v>
      </c>
    </row>
    <row r="106" spans="1:13" x14ac:dyDescent="0.2">
      <c r="A106">
        <v>4988</v>
      </c>
      <c r="B106">
        <v>24.831</v>
      </c>
      <c r="C106">
        <v>381.654</v>
      </c>
      <c r="D106">
        <v>7145.83</v>
      </c>
      <c r="E106">
        <v>20.6</v>
      </c>
      <c r="L106">
        <f t="shared" si="5"/>
        <v>7572.915</v>
      </c>
      <c r="M106">
        <f t="shared" si="6"/>
        <v>0.94360361894990241</v>
      </c>
    </row>
    <row r="107" spans="1:13" x14ac:dyDescent="0.2">
      <c r="A107">
        <v>5140</v>
      </c>
      <c r="B107">
        <v>41.358899999999998</v>
      </c>
      <c r="C107">
        <v>360.62599999999998</v>
      </c>
      <c r="D107">
        <v>7119.78</v>
      </c>
      <c r="E107">
        <v>18.3248</v>
      </c>
      <c r="L107">
        <f t="shared" si="5"/>
        <v>7540.0897000000004</v>
      </c>
      <c r="M107">
        <f t="shared" si="6"/>
        <v>0.94425667111095501</v>
      </c>
    </row>
    <row r="108" spans="1:13" x14ac:dyDescent="0.2">
      <c r="A108">
        <v>5292</v>
      </c>
      <c r="B108">
        <v>26.263100000000001</v>
      </c>
      <c r="C108">
        <v>363.89</v>
      </c>
      <c r="D108">
        <v>7089.2</v>
      </c>
      <c r="E108">
        <v>41.225099999999998</v>
      </c>
      <c r="L108">
        <f t="shared" si="5"/>
        <v>7520.5781999999999</v>
      </c>
      <c r="M108">
        <f t="shared" si="6"/>
        <v>0.94264028795020038</v>
      </c>
    </row>
    <row r="109" spans="1:13" x14ac:dyDescent="0.2">
      <c r="A109">
        <v>5444</v>
      </c>
      <c r="B109">
        <v>54.636200000000002</v>
      </c>
      <c r="C109">
        <v>422.86900000000003</v>
      </c>
      <c r="D109">
        <v>7167.77</v>
      </c>
      <c r="E109">
        <v>10.763299999999999</v>
      </c>
      <c r="L109">
        <f t="shared" si="5"/>
        <v>7656.0384999999997</v>
      </c>
      <c r="M109">
        <f t="shared" si="6"/>
        <v>0.93622439333344531</v>
      </c>
    </row>
    <row r="110" spans="1:13" x14ac:dyDescent="0.2">
      <c r="A110">
        <v>5595</v>
      </c>
      <c r="B110">
        <v>35.346400000000003</v>
      </c>
      <c r="C110">
        <v>421.49700000000001</v>
      </c>
      <c r="D110">
        <v>7181.48</v>
      </c>
      <c r="E110">
        <v>16.5623</v>
      </c>
      <c r="L110">
        <f t="shared" si="5"/>
        <v>7654.8856999999989</v>
      </c>
      <c r="M110">
        <f t="shared" si="6"/>
        <v>0.93815639859913269</v>
      </c>
    </row>
    <row r="111" spans="1:13" x14ac:dyDescent="0.2">
      <c r="A111">
        <v>5747</v>
      </c>
      <c r="B111">
        <v>59.098300000000002</v>
      </c>
      <c r="C111">
        <v>404.78500000000003</v>
      </c>
      <c r="D111">
        <v>7188.83</v>
      </c>
      <c r="E111">
        <v>19.933599999999998</v>
      </c>
      <c r="L111">
        <f t="shared" si="5"/>
        <v>7672.6469000000006</v>
      </c>
      <c r="M111">
        <f t="shared" si="6"/>
        <v>0.93694263449032167</v>
      </c>
    </row>
    <row r="112" spans="1:13" x14ac:dyDescent="0.2">
      <c r="A112">
        <v>5899</v>
      </c>
      <c r="B112">
        <v>42.505400000000002</v>
      </c>
      <c r="C112">
        <v>385.82400000000001</v>
      </c>
      <c r="D112">
        <v>7157.83</v>
      </c>
      <c r="E112">
        <v>15.9979</v>
      </c>
      <c r="L112">
        <f t="shared" si="5"/>
        <v>7602.1572999999999</v>
      </c>
      <c r="M112">
        <f t="shared" si="6"/>
        <v>0.94155247221732707</v>
      </c>
    </row>
    <row r="113" spans="1:13" x14ac:dyDescent="0.2">
      <c r="A113">
        <v>6051</v>
      </c>
      <c r="B113">
        <v>40.642400000000002</v>
      </c>
      <c r="C113">
        <v>432.54899999999998</v>
      </c>
      <c r="D113">
        <v>7166.92</v>
      </c>
      <c r="E113">
        <v>16.767800000000001</v>
      </c>
      <c r="L113">
        <f t="shared" si="5"/>
        <v>7656.8791999999994</v>
      </c>
      <c r="M113">
        <f t="shared" si="6"/>
        <v>0.93601058770784851</v>
      </c>
    </row>
    <row r="114" spans="1:13" x14ac:dyDescent="0.2">
      <c r="A114">
        <v>6203</v>
      </c>
      <c r="B114">
        <v>28.3171</v>
      </c>
      <c r="C114">
        <v>388.65800000000002</v>
      </c>
      <c r="D114">
        <v>7146.8</v>
      </c>
      <c r="E114">
        <v>41.738500000000002</v>
      </c>
      <c r="L114">
        <f t="shared" si="5"/>
        <v>7605.5136000000002</v>
      </c>
      <c r="M114">
        <f t="shared" si="6"/>
        <v>0.93968670307814584</v>
      </c>
    </row>
    <row r="115" spans="1:13" x14ac:dyDescent="0.2">
      <c r="A115">
        <v>6355</v>
      </c>
      <c r="B115">
        <v>44.434699999999999</v>
      </c>
      <c r="C115">
        <v>420.62299999999999</v>
      </c>
      <c r="D115">
        <v>7167.26</v>
      </c>
      <c r="E115">
        <v>12.0044</v>
      </c>
      <c r="L115">
        <f t="shared" si="5"/>
        <v>7644.3221000000003</v>
      </c>
      <c r="M115">
        <f t="shared" si="6"/>
        <v>0.93759262184935932</v>
      </c>
    </row>
    <row r="116" spans="1:13" x14ac:dyDescent="0.2">
      <c r="A116">
        <v>6506</v>
      </c>
      <c r="B116">
        <v>16.105899999999998</v>
      </c>
      <c r="C116">
        <v>357.11799999999999</v>
      </c>
      <c r="D116">
        <v>7106.19</v>
      </c>
      <c r="E116">
        <v>6.1718799999999998</v>
      </c>
      <c r="L116">
        <f t="shared" si="5"/>
        <v>7485.5857799999994</v>
      </c>
      <c r="M116">
        <f t="shared" si="6"/>
        <v>0.94931648756017595</v>
      </c>
    </row>
    <row r="117" spans="1:13" x14ac:dyDescent="0.2">
      <c r="A117">
        <v>6658</v>
      </c>
      <c r="B117">
        <v>63.964700000000001</v>
      </c>
      <c r="C117">
        <v>353.601</v>
      </c>
      <c r="D117">
        <v>7107.07</v>
      </c>
      <c r="E117">
        <v>23.084299999999999</v>
      </c>
      <c r="L117">
        <f t="shared" si="5"/>
        <v>7547.72</v>
      </c>
      <c r="M117">
        <f t="shared" si="6"/>
        <v>0.94161813103824721</v>
      </c>
    </row>
    <row r="118" spans="1:13" x14ac:dyDescent="0.2">
      <c r="A118">
        <v>6810</v>
      </c>
      <c r="B118">
        <v>42.224600000000002</v>
      </c>
      <c r="C118">
        <v>387.58100000000002</v>
      </c>
      <c r="D118">
        <v>7108.67</v>
      </c>
      <c r="E118">
        <v>4.8722200000000004</v>
      </c>
      <c r="L118">
        <f t="shared" si="5"/>
        <v>7543.34782</v>
      </c>
      <c r="M118">
        <f t="shared" si="6"/>
        <v>0.94237600726198523</v>
      </c>
    </row>
    <row r="119" spans="1:13" x14ac:dyDescent="0.2">
      <c r="A119">
        <v>6962</v>
      </c>
      <c r="B119">
        <v>33.683300000000003</v>
      </c>
      <c r="C119">
        <v>350.95299999999997</v>
      </c>
      <c r="D119">
        <v>7073.65</v>
      </c>
      <c r="E119">
        <v>15.0489</v>
      </c>
      <c r="L119">
        <f t="shared" si="5"/>
        <v>7473.3351999999995</v>
      </c>
      <c r="M119">
        <f t="shared" si="6"/>
        <v>0.94651849685532641</v>
      </c>
    </row>
    <row r="120" spans="1:13" x14ac:dyDescent="0.2">
      <c r="A120">
        <v>7114</v>
      </c>
      <c r="B120">
        <v>51.146500000000003</v>
      </c>
      <c r="C120">
        <v>432.274</v>
      </c>
      <c r="D120">
        <v>7197.79</v>
      </c>
      <c r="E120">
        <v>22.915400000000002</v>
      </c>
      <c r="L120">
        <f t="shared" si="5"/>
        <v>7704.1259</v>
      </c>
      <c r="M120">
        <f t="shared" si="6"/>
        <v>0.93427730717640534</v>
      </c>
    </row>
    <row r="121" spans="1:13" x14ac:dyDescent="0.2">
      <c r="A121">
        <v>7266</v>
      </c>
      <c r="B121">
        <v>52.438000000000002</v>
      </c>
      <c r="C121">
        <v>349.93900000000002</v>
      </c>
      <c r="D121">
        <v>7097.67</v>
      </c>
      <c r="E121">
        <v>30.421800000000001</v>
      </c>
      <c r="L121">
        <f t="shared" si="5"/>
        <v>7530.4688000000006</v>
      </c>
      <c r="M121">
        <f t="shared" si="6"/>
        <v>0.94252697786889439</v>
      </c>
    </row>
    <row r="122" spans="1:13" x14ac:dyDescent="0.2">
      <c r="A122">
        <v>7417</v>
      </c>
      <c r="B122">
        <v>52.030299999999997</v>
      </c>
      <c r="C122">
        <v>395.78</v>
      </c>
      <c r="D122">
        <v>7177.32</v>
      </c>
      <c r="E122">
        <v>13.585100000000001</v>
      </c>
      <c r="L122">
        <f t="shared" si="5"/>
        <v>7638.7154</v>
      </c>
      <c r="M122">
        <f t="shared" si="6"/>
        <v>0.93959777582497706</v>
      </c>
    </row>
    <row r="123" spans="1:13" x14ac:dyDescent="0.2">
      <c r="A123">
        <v>7569</v>
      </c>
      <c r="B123">
        <v>24.376100000000001</v>
      </c>
      <c r="C123">
        <v>411.70699999999999</v>
      </c>
      <c r="D123">
        <v>7163.79</v>
      </c>
      <c r="E123">
        <v>17.7593</v>
      </c>
      <c r="L123">
        <f t="shared" si="5"/>
        <v>7617.6323999999995</v>
      </c>
      <c r="M123">
        <f t="shared" si="6"/>
        <v>0.94042211855746682</v>
      </c>
    </row>
    <row r="124" spans="1:13" x14ac:dyDescent="0.2">
      <c r="A124">
        <v>7721</v>
      </c>
      <c r="B124">
        <v>20.9269</v>
      </c>
      <c r="C124">
        <v>399.23200000000003</v>
      </c>
      <c r="D124">
        <v>7156.79</v>
      </c>
      <c r="E124">
        <v>16.0901</v>
      </c>
      <c r="L124">
        <f t="shared" si="5"/>
        <v>7593.0390000000007</v>
      </c>
      <c r="M124">
        <f t="shared" si="6"/>
        <v>0.94254619263775663</v>
      </c>
    </row>
    <row r="125" spans="1:13" x14ac:dyDescent="0.2">
      <c r="A125">
        <v>7873</v>
      </c>
      <c r="B125">
        <v>40.885300000000001</v>
      </c>
      <c r="C125">
        <v>392.06</v>
      </c>
      <c r="D125">
        <v>7148.42</v>
      </c>
      <c r="E125">
        <v>15.0777</v>
      </c>
      <c r="L125">
        <f t="shared" si="5"/>
        <v>7596.4430000000002</v>
      </c>
      <c r="M125">
        <f t="shared" si="6"/>
        <v>0.94102200200804509</v>
      </c>
    </row>
    <row r="126" spans="1:13" x14ac:dyDescent="0.2">
      <c r="A126">
        <v>8025</v>
      </c>
      <c r="B126">
        <v>19.314399999999999</v>
      </c>
      <c r="C126">
        <v>374.73399999999998</v>
      </c>
      <c r="D126">
        <v>7112.94</v>
      </c>
      <c r="E126">
        <v>13.5816</v>
      </c>
      <c r="L126">
        <f t="shared" si="5"/>
        <v>7520.57</v>
      </c>
      <c r="M126">
        <f t="shared" si="6"/>
        <v>0.94579799137565368</v>
      </c>
    </row>
    <row r="127" spans="1:13" x14ac:dyDescent="0.2">
      <c r="A127">
        <v>8177</v>
      </c>
      <c r="B127">
        <v>37.644300000000001</v>
      </c>
      <c r="C127">
        <v>366.01100000000002</v>
      </c>
      <c r="D127">
        <v>7110.16</v>
      </c>
      <c r="E127">
        <v>17.4269</v>
      </c>
      <c r="L127">
        <f t="shared" si="5"/>
        <v>7531.2422000000006</v>
      </c>
      <c r="M127">
        <f t="shared" si="6"/>
        <v>0.94408861263285349</v>
      </c>
    </row>
    <row r="128" spans="1:13" x14ac:dyDescent="0.2">
      <c r="A128">
        <v>8329</v>
      </c>
      <c r="B128">
        <v>50.999000000000002</v>
      </c>
      <c r="C128">
        <v>403.35399999999998</v>
      </c>
      <c r="D128">
        <v>7154.15</v>
      </c>
      <c r="E128">
        <v>32.4499</v>
      </c>
      <c r="L128">
        <f t="shared" si="5"/>
        <v>7640.9528999999993</v>
      </c>
      <c r="M128">
        <f t="shared" si="6"/>
        <v>0.93629028913396395</v>
      </c>
    </row>
    <row r="129" spans="1:13" x14ac:dyDescent="0.2">
      <c r="A129">
        <v>8480</v>
      </c>
      <c r="B129">
        <v>24.4177</v>
      </c>
      <c r="C129">
        <v>335.97699999999998</v>
      </c>
      <c r="D129">
        <v>7132.28</v>
      </c>
      <c r="E129">
        <v>18.182600000000001</v>
      </c>
      <c r="L129">
        <f t="shared" si="5"/>
        <v>7510.8572999999997</v>
      </c>
      <c r="M129">
        <f t="shared" si="6"/>
        <v>0.9495959935226036</v>
      </c>
    </row>
    <row r="130" spans="1:13" x14ac:dyDescent="0.2">
      <c r="A130">
        <v>8632</v>
      </c>
      <c r="B130">
        <v>34.4114</v>
      </c>
      <c r="C130">
        <v>391.86700000000002</v>
      </c>
      <c r="D130">
        <v>7158.09</v>
      </c>
      <c r="E130">
        <v>16.7835</v>
      </c>
      <c r="L130">
        <f t="shared" si="5"/>
        <v>7601.1518999999998</v>
      </c>
      <c r="M130">
        <f t="shared" si="6"/>
        <v>0.94171121616448694</v>
      </c>
    </row>
    <row r="131" spans="1:13" x14ac:dyDescent="0.2">
      <c r="A131">
        <v>8784</v>
      </c>
      <c r="B131">
        <v>26.202999999999999</v>
      </c>
      <c r="C131">
        <v>419.63200000000001</v>
      </c>
      <c r="D131">
        <v>7170.48</v>
      </c>
      <c r="E131">
        <v>24.669799999999999</v>
      </c>
      <c r="L131">
        <f t="shared" ref="L131:L147" si="7">SUM(B131:J131)</f>
        <v>7640.9847999999993</v>
      </c>
      <c r="M131">
        <f t="shared" si="6"/>
        <v>0.93842353933225997</v>
      </c>
    </row>
    <row r="132" spans="1:13" x14ac:dyDescent="0.2">
      <c r="A132">
        <v>8936</v>
      </c>
      <c r="B132">
        <v>40.713099999999997</v>
      </c>
      <c r="C132">
        <v>418.65</v>
      </c>
      <c r="D132">
        <v>7183.27</v>
      </c>
      <c r="E132">
        <v>17.1723</v>
      </c>
      <c r="L132">
        <f t="shared" si="7"/>
        <v>7659.8054000000002</v>
      </c>
      <c r="M132">
        <f t="shared" si="6"/>
        <v>0.93778753178246543</v>
      </c>
    </row>
    <row r="133" spans="1:13" x14ac:dyDescent="0.2">
      <c r="A133">
        <v>9088</v>
      </c>
      <c r="B133">
        <v>41.584299999999999</v>
      </c>
      <c r="C133">
        <v>411.524</v>
      </c>
      <c r="D133">
        <v>7166.48</v>
      </c>
      <c r="E133">
        <v>27.363199999999999</v>
      </c>
      <c r="L133">
        <f t="shared" si="7"/>
        <v>7646.9514999999992</v>
      </c>
      <c r="M133">
        <f t="shared" si="6"/>
        <v>0.9371682297187317</v>
      </c>
    </row>
    <row r="134" spans="1:13" x14ac:dyDescent="0.2">
      <c r="A134">
        <v>9240</v>
      </c>
      <c r="B134">
        <v>21.4922</v>
      </c>
      <c r="C134">
        <v>337.05799999999999</v>
      </c>
      <c r="D134">
        <v>7193.2</v>
      </c>
      <c r="E134">
        <v>22.2225</v>
      </c>
      <c r="L134">
        <f t="shared" si="7"/>
        <v>7573.9726999999993</v>
      </c>
      <c r="M134">
        <f t="shared" si="6"/>
        <v>0.94972615890205159</v>
      </c>
    </row>
    <row r="135" spans="1:13" x14ac:dyDescent="0.2">
      <c r="A135">
        <v>9391</v>
      </c>
      <c r="B135">
        <v>75.6464</v>
      </c>
      <c r="C135">
        <v>364.791</v>
      </c>
      <c r="D135">
        <v>7077.26</v>
      </c>
      <c r="E135">
        <v>32.719700000000003</v>
      </c>
      <c r="L135">
        <f t="shared" si="7"/>
        <v>7550.4170999999997</v>
      </c>
      <c r="M135">
        <f t="shared" si="6"/>
        <v>0.9373336474351861</v>
      </c>
    </row>
    <row r="136" spans="1:13" x14ac:dyDescent="0.2">
      <c r="A136">
        <v>9543</v>
      </c>
      <c r="B136">
        <v>37.153100000000002</v>
      </c>
      <c r="C136">
        <v>384.79199999999997</v>
      </c>
      <c r="D136">
        <v>7161.33</v>
      </c>
      <c r="E136">
        <v>19.5793</v>
      </c>
      <c r="L136">
        <f t="shared" si="7"/>
        <v>7602.8544000000002</v>
      </c>
      <c r="M136">
        <f t="shared" si="6"/>
        <v>0.94192649539625539</v>
      </c>
    </row>
    <row r="137" spans="1:13" x14ac:dyDescent="0.2">
      <c r="A137">
        <v>9695</v>
      </c>
      <c r="B137">
        <v>26.3154</v>
      </c>
      <c r="C137">
        <v>351.80799999999999</v>
      </c>
      <c r="D137">
        <v>7087.6</v>
      </c>
      <c r="E137">
        <v>32.292999999999999</v>
      </c>
      <c r="L137">
        <f t="shared" si="7"/>
        <v>7498.0164000000004</v>
      </c>
      <c r="M137">
        <f t="shared" si="6"/>
        <v>0.94526333658059214</v>
      </c>
    </row>
    <row r="138" spans="1:13" x14ac:dyDescent="0.2">
      <c r="A138">
        <v>9847</v>
      </c>
      <c r="B138">
        <v>67.630600000000001</v>
      </c>
      <c r="C138">
        <v>390.21300000000002</v>
      </c>
      <c r="D138">
        <v>7176.85</v>
      </c>
      <c r="E138">
        <v>30.474699999999999</v>
      </c>
      <c r="L138">
        <f t="shared" si="7"/>
        <v>7665.1683000000003</v>
      </c>
      <c r="M138">
        <f t="shared" si="6"/>
        <v>0.93629385802266074</v>
      </c>
    </row>
    <row r="139" spans="1:13" x14ac:dyDescent="0.2">
      <c r="A139">
        <v>9999</v>
      </c>
      <c r="B139">
        <v>25.0685</v>
      </c>
      <c r="C139">
        <v>352.22300000000001</v>
      </c>
      <c r="D139">
        <v>7094.69</v>
      </c>
      <c r="E139">
        <v>18.8202</v>
      </c>
      <c r="L139">
        <f t="shared" si="7"/>
        <v>7490.8017</v>
      </c>
      <c r="M139">
        <f t="shared" si="6"/>
        <v>0.94712025282954693</v>
      </c>
    </row>
    <row r="140" spans="1:13" x14ac:dyDescent="0.2">
      <c r="A140">
        <v>10151</v>
      </c>
      <c r="B140">
        <v>33.488500000000002</v>
      </c>
      <c r="C140">
        <v>420.76900000000001</v>
      </c>
      <c r="D140">
        <v>7168.01</v>
      </c>
      <c r="E140">
        <v>31.482299999999999</v>
      </c>
      <c r="L140">
        <f t="shared" si="7"/>
        <v>7653.7497999999996</v>
      </c>
      <c r="M140">
        <f t="shared" si="6"/>
        <v>0.93653570959426979</v>
      </c>
    </row>
    <row r="141" spans="1:13" x14ac:dyDescent="0.2">
      <c r="A141">
        <v>10302</v>
      </c>
      <c r="B141">
        <v>30.723700000000001</v>
      </c>
      <c r="C141">
        <v>367.74900000000002</v>
      </c>
      <c r="D141">
        <v>7183.19</v>
      </c>
      <c r="E141">
        <v>13.2354</v>
      </c>
      <c r="L141">
        <f t="shared" si="7"/>
        <v>7594.8980999999994</v>
      </c>
      <c r="M141">
        <f t="shared" ref="M141:M147" si="8">D141/L141</f>
        <v>0.94579149126437922</v>
      </c>
    </row>
    <row r="142" spans="1:13" x14ac:dyDescent="0.2">
      <c r="A142">
        <v>10454</v>
      </c>
      <c r="B142">
        <v>29.295500000000001</v>
      </c>
      <c r="C142">
        <v>390.19099999999997</v>
      </c>
      <c r="D142">
        <v>7152.38</v>
      </c>
      <c r="E142">
        <v>31.1708</v>
      </c>
      <c r="L142">
        <f t="shared" si="7"/>
        <v>7603.0373</v>
      </c>
      <c r="M142">
        <f t="shared" si="8"/>
        <v>0.94072667511443098</v>
      </c>
    </row>
    <row r="143" spans="1:13" x14ac:dyDescent="0.2">
      <c r="A143">
        <v>10606</v>
      </c>
      <c r="B143">
        <v>56.1526</v>
      </c>
      <c r="C143">
        <v>386.46899999999999</v>
      </c>
      <c r="D143">
        <v>7183.5</v>
      </c>
      <c r="E143">
        <v>23.326499999999999</v>
      </c>
      <c r="L143">
        <f t="shared" si="7"/>
        <v>7649.4481000000005</v>
      </c>
      <c r="M143">
        <f t="shared" si="8"/>
        <v>0.93908735716502212</v>
      </c>
    </row>
    <row r="144" spans="1:13" x14ac:dyDescent="0.2">
      <c r="A144">
        <v>10758</v>
      </c>
      <c r="B144">
        <v>68.649799999999999</v>
      </c>
      <c r="C144">
        <v>415.87200000000001</v>
      </c>
      <c r="D144">
        <v>7174.06</v>
      </c>
      <c r="E144">
        <v>14.144600000000001</v>
      </c>
      <c r="L144">
        <f t="shared" si="7"/>
        <v>7672.7263999999996</v>
      </c>
      <c r="M144">
        <f t="shared" si="8"/>
        <v>0.93500792625682583</v>
      </c>
    </row>
    <row r="145" spans="1:13" x14ac:dyDescent="0.2">
      <c r="A145">
        <v>10910</v>
      </c>
      <c r="B145">
        <v>28.421500000000002</v>
      </c>
      <c r="C145">
        <v>411.93700000000001</v>
      </c>
      <c r="D145">
        <v>7178.39</v>
      </c>
      <c r="E145">
        <v>25.2303</v>
      </c>
      <c r="L145">
        <f t="shared" si="7"/>
        <v>7643.9788000000008</v>
      </c>
      <c r="M145">
        <f t="shared" si="8"/>
        <v>0.93909077822141518</v>
      </c>
    </row>
    <row r="146" spans="1:13" x14ac:dyDescent="0.2">
      <c r="A146">
        <v>11062</v>
      </c>
      <c r="B146">
        <v>31.237200000000001</v>
      </c>
      <c r="C146">
        <v>381.31799999999998</v>
      </c>
      <c r="D146">
        <v>7142.19</v>
      </c>
      <c r="E146">
        <v>17.600200000000001</v>
      </c>
      <c r="L146">
        <f t="shared" si="7"/>
        <v>7572.3453999999992</v>
      </c>
      <c r="M146">
        <f t="shared" si="8"/>
        <v>0.94319390132415248</v>
      </c>
    </row>
    <row r="147" spans="1:13" x14ac:dyDescent="0.2">
      <c r="A147">
        <v>11213</v>
      </c>
      <c r="B147">
        <v>65.509399999999999</v>
      </c>
      <c r="C147">
        <v>315.19799999999998</v>
      </c>
      <c r="D147">
        <v>7137.1</v>
      </c>
      <c r="E147">
        <v>11.9435</v>
      </c>
      <c r="L147">
        <f t="shared" si="7"/>
        <v>7529.7509000000009</v>
      </c>
      <c r="M147">
        <f t="shared" si="8"/>
        <v>0.94785340109989558</v>
      </c>
    </row>
    <row r="149" spans="1:13" x14ac:dyDescent="0.2">
      <c r="A149" t="s">
        <v>0</v>
      </c>
      <c r="B149" t="s">
        <v>16</v>
      </c>
    </row>
    <row r="150" spans="1:13" x14ac:dyDescent="0.2">
      <c r="A150">
        <v>433</v>
      </c>
      <c r="B150">
        <v>56823.4</v>
      </c>
    </row>
    <row r="151" spans="1:13" x14ac:dyDescent="0.2">
      <c r="A151">
        <v>585</v>
      </c>
      <c r="B151">
        <v>50516.4</v>
      </c>
    </row>
    <row r="152" spans="1:13" x14ac:dyDescent="0.2">
      <c r="A152">
        <v>737</v>
      </c>
      <c r="B152">
        <v>44539.9</v>
      </c>
    </row>
    <row r="153" spans="1:13" x14ac:dyDescent="0.2">
      <c r="A153">
        <v>889</v>
      </c>
      <c r="B153">
        <v>39325.599999999999</v>
      </c>
    </row>
    <row r="154" spans="1:13" x14ac:dyDescent="0.2">
      <c r="A154">
        <v>1040</v>
      </c>
      <c r="B154">
        <v>34598.800000000003</v>
      </c>
    </row>
    <row r="155" spans="1:13" x14ac:dyDescent="0.2">
      <c r="A155">
        <v>1192</v>
      </c>
      <c r="B155">
        <v>30799.5</v>
      </c>
    </row>
    <row r="156" spans="1:13" x14ac:dyDescent="0.2">
      <c r="A156">
        <v>1344</v>
      </c>
      <c r="B156">
        <v>27194.799999999999</v>
      </c>
    </row>
    <row r="157" spans="1:13" x14ac:dyDescent="0.2">
      <c r="A157">
        <v>1496</v>
      </c>
      <c r="B157">
        <v>23918.5</v>
      </c>
    </row>
    <row r="158" spans="1:13" x14ac:dyDescent="0.2">
      <c r="A158">
        <v>1648</v>
      </c>
      <c r="B158">
        <v>21402.2</v>
      </c>
    </row>
    <row r="159" spans="1:13" x14ac:dyDescent="0.2">
      <c r="A159">
        <v>1800</v>
      </c>
      <c r="B159">
        <v>18684.900000000001</v>
      </c>
    </row>
    <row r="160" spans="1:13" x14ac:dyDescent="0.2">
      <c r="A160">
        <v>1951</v>
      </c>
      <c r="B160">
        <v>16495.8</v>
      </c>
    </row>
    <row r="161" spans="1:2" x14ac:dyDescent="0.2">
      <c r="A161">
        <v>2103</v>
      </c>
      <c r="B161">
        <v>14629.2</v>
      </c>
    </row>
    <row r="162" spans="1:2" x14ac:dyDescent="0.2">
      <c r="A162">
        <v>2255</v>
      </c>
      <c r="B162">
        <v>12896.4</v>
      </c>
    </row>
    <row r="163" spans="1:2" x14ac:dyDescent="0.2">
      <c r="A163">
        <v>2407</v>
      </c>
      <c r="B163">
        <v>11291.1</v>
      </c>
    </row>
    <row r="164" spans="1:2" x14ac:dyDescent="0.2">
      <c r="A164">
        <v>2559</v>
      </c>
      <c r="B164">
        <v>10175.700000000001</v>
      </c>
    </row>
    <row r="165" spans="1:2" x14ac:dyDescent="0.2">
      <c r="A165">
        <v>2711</v>
      </c>
      <c r="B165">
        <v>8855</v>
      </c>
    </row>
    <row r="166" spans="1:2" x14ac:dyDescent="0.2">
      <c r="A166">
        <v>2862</v>
      </c>
      <c r="B166">
        <v>7822.63</v>
      </c>
    </row>
    <row r="167" spans="1:2" x14ac:dyDescent="0.2">
      <c r="A167">
        <v>3014</v>
      </c>
      <c r="B167">
        <v>6854.94</v>
      </c>
    </row>
    <row r="168" spans="1:2" x14ac:dyDescent="0.2">
      <c r="A168">
        <v>3166</v>
      </c>
      <c r="B168">
        <v>6171.4</v>
      </c>
    </row>
    <row r="169" spans="1:2" x14ac:dyDescent="0.2">
      <c r="A169">
        <v>3318</v>
      </c>
      <c r="B169">
        <v>5440.62</v>
      </c>
    </row>
    <row r="170" spans="1:2" x14ac:dyDescent="0.2">
      <c r="A170">
        <v>3470</v>
      </c>
      <c r="B170">
        <v>4757.7700000000004</v>
      </c>
    </row>
    <row r="171" spans="1:2" x14ac:dyDescent="0.2">
      <c r="A171">
        <v>3622</v>
      </c>
      <c r="B171">
        <v>4117.5200000000004</v>
      </c>
    </row>
    <row r="172" spans="1:2" x14ac:dyDescent="0.2">
      <c r="A172">
        <v>3773</v>
      </c>
      <c r="B172">
        <v>3597.91</v>
      </c>
    </row>
    <row r="173" spans="1:2" x14ac:dyDescent="0.2">
      <c r="A173">
        <v>3925</v>
      </c>
      <c r="B173">
        <v>3190.88</v>
      </c>
    </row>
    <row r="174" spans="1:2" x14ac:dyDescent="0.2">
      <c r="A174">
        <v>4077</v>
      </c>
      <c r="B174">
        <v>2893.65</v>
      </c>
    </row>
    <row r="175" spans="1:2" x14ac:dyDescent="0.2">
      <c r="A175">
        <v>4229</v>
      </c>
      <c r="B175">
        <v>2590.39</v>
      </c>
    </row>
    <row r="176" spans="1:2" x14ac:dyDescent="0.2">
      <c r="A176">
        <v>4381</v>
      </c>
      <c r="B176">
        <v>2324.9499999999998</v>
      </c>
    </row>
    <row r="177" spans="1:2" x14ac:dyDescent="0.2">
      <c r="A177">
        <v>4533</v>
      </c>
      <c r="B177">
        <v>2034.26</v>
      </c>
    </row>
    <row r="178" spans="1:2" x14ac:dyDescent="0.2">
      <c r="A178">
        <v>4684</v>
      </c>
      <c r="B178">
        <v>1661.49</v>
      </c>
    </row>
    <row r="179" spans="1:2" x14ac:dyDescent="0.2">
      <c r="A179">
        <v>4836</v>
      </c>
      <c r="B179">
        <v>1560.04</v>
      </c>
    </row>
    <row r="180" spans="1:2" x14ac:dyDescent="0.2">
      <c r="A180">
        <v>4988</v>
      </c>
      <c r="B180">
        <v>1238.3900000000001</v>
      </c>
    </row>
    <row r="181" spans="1:2" x14ac:dyDescent="0.2">
      <c r="A181">
        <v>5140</v>
      </c>
      <c r="B181">
        <v>1103.8699999999999</v>
      </c>
    </row>
    <row r="182" spans="1:2" x14ac:dyDescent="0.2">
      <c r="A182">
        <v>5292</v>
      </c>
      <c r="B182">
        <v>1003.37</v>
      </c>
    </row>
    <row r="183" spans="1:2" x14ac:dyDescent="0.2">
      <c r="A183">
        <v>5444</v>
      </c>
      <c r="B183">
        <v>987.00699999999995</v>
      </c>
    </row>
    <row r="184" spans="1:2" x14ac:dyDescent="0.2">
      <c r="A184">
        <v>5595</v>
      </c>
      <c r="B184">
        <v>775.90300000000002</v>
      </c>
    </row>
    <row r="185" spans="1:2" x14ac:dyDescent="0.2">
      <c r="A185">
        <v>5747</v>
      </c>
      <c r="B185">
        <v>795.31500000000005</v>
      </c>
    </row>
    <row r="186" spans="1:2" x14ac:dyDescent="0.2">
      <c r="A186">
        <v>5899</v>
      </c>
      <c r="B186">
        <v>532.846</v>
      </c>
    </row>
    <row r="187" spans="1:2" x14ac:dyDescent="0.2">
      <c r="A187">
        <v>6051</v>
      </c>
      <c r="B187">
        <v>633.79100000000005</v>
      </c>
    </row>
    <row r="188" spans="1:2" x14ac:dyDescent="0.2">
      <c r="A188">
        <v>6203</v>
      </c>
      <c r="B188">
        <v>399.392</v>
      </c>
    </row>
    <row r="189" spans="1:2" x14ac:dyDescent="0.2">
      <c r="A189">
        <v>6355</v>
      </c>
      <c r="B189">
        <v>459.37900000000002</v>
      </c>
    </row>
    <row r="190" spans="1:2" x14ac:dyDescent="0.2">
      <c r="A190">
        <v>6506</v>
      </c>
      <c r="B190">
        <v>322.92500000000001</v>
      </c>
    </row>
    <row r="191" spans="1:2" x14ac:dyDescent="0.2">
      <c r="A191">
        <v>6658</v>
      </c>
      <c r="B191">
        <v>348.84300000000002</v>
      </c>
    </row>
    <row r="192" spans="1:2" x14ac:dyDescent="0.2">
      <c r="A192">
        <v>6810</v>
      </c>
      <c r="B192">
        <v>387.78300000000002</v>
      </c>
    </row>
    <row r="193" spans="1:2" x14ac:dyDescent="0.2">
      <c r="A193">
        <v>6962</v>
      </c>
      <c r="B193">
        <v>331.35899999999998</v>
      </c>
    </row>
    <row r="194" spans="1:2" x14ac:dyDescent="0.2">
      <c r="A194">
        <v>7114</v>
      </c>
      <c r="B194">
        <v>252.37</v>
      </c>
    </row>
    <row r="195" spans="1:2" x14ac:dyDescent="0.2">
      <c r="A195">
        <v>7266</v>
      </c>
      <c r="B195">
        <v>260.52300000000002</v>
      </c>
    </row>
    <row r="196" spans="1:2" x14ac:dyDescent="0.2">
      <c r="A196">
        <v>7417</v>
      </c>
      <c r="B196">
        <v>213.749</v>
      </c>
    </row>
    <row r="197" spans="1:2" x14ac:dyDescent="0.2">
      <c r="A197">
        <v>7569</v>
      </c>
      <c r="B197">
        <v>135.79900000000001</v>
      </c>
    </row>
    <row r="198" spans="1:2" x14ac:dyDescent="0.2">
      <c r="A198">
        <v>7721</v>
      </c>
      <c r="B198">
        <v>190.27600000000001</v>
      </c>
    </row>
    <row r="199" spans="1:2" x14ac:dyDescent="0.2">
      <c r="A199">
        <v>7873</v>
      </c>
      <c r="B199">
        <v>138.22499999999999</v>
      </c>
    </row>
    <row r="200" spans="1:2" x14ac:dyDescent="0.2">
      <c r="A200">
        <v>8025</v>
      </c>
      <c r="B200">
        <v>134.89099999999999</v>
      </c>
    </row>
    <row r="201" spans="1:2" x14ac:dyDescent="0.2">
      <c r="A201">
        <v>8177</v>
      </c>
      <c r="B201">
        <v>101.65</v>
      </c>
    </row>
    <row r="202" spans="1:2" x14ac:dyDescent="0.2">
      <c r="A202">
        <v>8329</v>
      </c>
      <c r="B202">
        <v>98.810599999999994</v>
      </c>
    </row>
    <row r="203" spans="1:2" x14ac:dyDescent="0.2">
      <c r="A203">
        <v>8480</v>
      </c>
      <c r="B203">
        <v>89.759100000000004</v>
      </c>
    </row>
    <row r="204" spans="1:2" x14ac:dyDescent="0.2">
      <c r="A204">
        <v>8632</v>
      </c>
      <c r="B204">
        <v>77.307699999999997</v>
      </c>
    </row>
    <row r="205" spans="1:2" x14ac:dyDescent="0.2">
      <c r="A205">
        <v>8784</v>
      </c>
      <c r="B205">
        <v>64.829700000000003</v>
      </c>
    </row>
    <row r="206" spans="1:2" x14ac:dyDescent="0.2">
      <c r="A206">
        <v>8936</v>
      </c>
      <c r="B206">
        <v>15.018000000000001</v>
      </c>
    </row>
    <row r="207" spans="1:2" x14ac:dyDescent="0.2">
      <c r="A207">
        <v>9088</v>
      </c>
      <c r="B207">
        <v>4.0883500000000002</v>
      </c>
    </row>
    <row r="208" spans="1:2" x14ac:dyDescent="0.2">
      <c r="A208">
        <v>9240</v>
      </c>
      <c r="B208">
        <v>36.060499999999998</v>
      </c>
    </row>
    <row r="209" spans="1:2" x14ac:dyDescent="0.2">
      <c r="A209">
        <v>9391</v>
      </c>
      <c r="B209">
        <v>26.5383</v>
      </c>
    </row>
    <row r="210" spans="1:2" x14ac:dyDescent="0.2">
      <c r="A210">
        <v>9543</v>
      </c>
      <c r="B210">
        <v>6.7604100000000003</v>
      </c>
    </row>
    <row r="211" spans="1:2" x14ac:dyDescent="0.2">
      <c r="A211">
        <v>9695</v>
      </c>
      <c r="B211">
        <v>3.7010399999999999</v>
      </c>
    </row>
    <row r="212" spans="1:2" x14ac:dyDescent="0.2">
      <c r="A212">
        <v>9847</v>
      </c>
      <c r="B212">
        <v>6.7740499999999999</v>
      </c>
    </row>
    <row r="213" spans="1:2" x14ac:dyDescent="0.2">
      <c r="A213">
        <v>9999</v>
      </c>
      <c r="B213">
        <v>2.45749</v>
      </c>
    </row>
    <row r="214" spans="1:2" x14ac:dyDescent="0.2">
      <c r="A214">
        <v>10151</v>
      </c>
      <c r="B214">
        <v>4.5547300000000002</v>
      </c>
    </row>
    <row r="215" spans="1:2" x14ac:dyDescent="0.2">
      <c r="A215">
        <v>10302</v>
      </c>
      <c r="B215">
        <v>5.7688699999999997</v>
      </c>
    </row>
    <row r="216" spans="1:2" x14ac:dyDescent="0.2">
      <c r="A216">
        <v>10454</v>
      </c>
      <c r="B216">
        <v>9.2529800000000009</v>
      </c>
    </row>
    <row r="217" spans="1:2" x14ac:dyDescent="0.2">
      <c r="A217">
        <v>10606</v>
      </c>
      <c r="B217">
        <v>-2.8912599999999999</v>
      </c>
    </row>
    <row r="218" spans="1:2" x14ac:dyDescent="0.2">
      <c r="A218">
        <v>10758</v>
      </c>
      <c r="B218">
        <v>1.09615</v>
      </c>
    </row>
    <row r="219" spans="1:2" x14ac:dyDescent="0.2">
      <c r="A219">
        <v>10910</v>
      </c>
      <c r="B219">
        <v>-7.5971900000000003</v>
      </c>
    </row>
    <row r="220" spans="1:2" x14ac:dyDescent="0.2">
      <c r="A220">
        <v>11062</v>
      </c>
      <c r="B220">
        <v>6.6200599999999996</v>
      </c>
    </row>
    <row r="221" spans="1:2" x14ac:dyDescent="0.2">
      <c r="A221">
        <v>11213</v>
      </c>
      <c r="B221">
        <v>-0.92572500000000002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E244-4A02-DC43-A7C5-3F4DBDFDDF44}">
  <dimension ref="A1:N77"/>
  <sheetViews>
    <sheetView workbookViewId="0">
      <selection activeCell="G1" sqref="G1"/>
    </sheetView>
  </sheetViews>
  <sheetFormatPr baseColWidth="10" defaultRowHeight="16" x14ac:dyDescent="0.2"/>
  <sheetData>
    <row r="1" spans="1:14" x14ac:dyDescent="0.2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L1" t="s">
        <v>93</v>
      </c>
      <c r="M1" t="s">
        <v>94</v>
      </c>
      <c r="N1" t="s">
        <v>95</v>
      </c>
    </row>
    <row r="2" spans="1:14" x14ac:dyDescent="0.2">
      <c r="A2">
        <v>490</v>
      </c>
      <c r="B2">
        <v>53.903199999999998</v>
      </c>
      <c r="C2">
        <v>125.502</v>
      </c>
      <c r="D2">
        <v>7802.35</v>
      </c>
      <c r="E2">
        <v>56.009399999999999</v>
      </c>
      <c r="F2">
        <v>27.036799999999999</v>
      </c>
      <c r="G2">
        <v>5275.51</v>
      </c>
      <c r="H2">
        <v>50.907299999999999</v>
      </c>
      <c r="L2">
        <f>SUM(B2:J2)</f>
        <v>13391.218700000001</v>
      </c>
      <c r="M2">
        <f>D2/L2</f>
        <v>0.58264674596047028</v>
      </c>
      <c r="N2">
        <f>G2/L2</f>
        <v>0.39395294171396061</v>
      </c>
    </row>
    <row r="3" spans="1:14" x14ac:dyDescent="0.2">
      <c r="A3">
        <v>612</v>
      </c>
      <c r="B3">
        <v>65.635099999999994</v>
      </c>
      <c r="C3">
        <v>159.03200000000001</v>
      </c>
      <c r="D3">
        <v>7759.48</v>
      </c>
      <c r="E3">
        <v>45.634500000000003</v>
      </c>
      <c r="F3">
        <v>47.795099999999998</v>
      </c>
      <c r="G3">
        <v>5290.23</v>
      </c>
      <c r="H3">
        <v>53.255099999999999</v>
      </c>
      <c r="L3">
        <f t="shared" ref="L3:L66" si="0">SUM(B3:J3)</f>
        <v>13421.061799999999</v>
      </c>
      <c r="M3">
        <f t="shared" ref="M3:M25" si="1">D3/L3</f>
        <v>0.57815693837278959</v>
      </c>
      <c r="N3">
        <f t="shared" ref="N3:N25" si="2">G3/L3</f>
        <v>0.39417373072523965</v>
      </c>
    </row>
    <row r="4" spans="1:14" x14ac:dyDescent="0.2">
      <c r="A4">
        <v>734</v>
      </c>
      <c r="B4">
        <v>63.9923</v>
      </c>
      <c r="C4">
        <v>199.61099999999999</v>
      </c>
      <c r="D4">
        <v>7763.01</v>
      </c>
      <c r="E4">
        <v>57.941899999999997</v>
      </c>
      <c r="F4">
        <v>40.075099999999999</v>
      </c>
      <c r="G4">
        <v>5299.53</v>
      </c>
      <c r="H4">
        <v>34.965499999999999</v>
      </c>
      <c r="L4">
        <f t="shared" si="0"/>
        <v>13459.1258</v>
      </c>
      <c r="M4">
        <f t="shared" si="1"/>
        <v>0.57678411773222305</v>
      </c>
      <c r="N4">
        <f t="shared" si="2"/>
        <v>0.39374994176813471</v>
      </c>
    </row>
    <row r="5" spans="1:14" x14ac:dyDescent="0.2">
      <c r="A5">
        <v>856</v>
      </c>
      <c r="B5">
        <v>59.557400000000001</v>
      </c>
      <c r="C5">
        <v>198.46700000000001</v>
      </c>
      <c r="D5">
        <v>7748.36</v>
      </c>
      <c r="E5">
        <v>54.7575</v>
      </c>
      <c r="F5">
        <v>30.831299999999999</v>
      </c>
      <c r="G5">
        <v>5249.61</v>
      </c>
      <c r="H5">
        <v>42.847900000000003</v>
      </c>
      <c r="L5">
        <f t="shared" si="0"/>
        <v>13384.4311</v>
      </c>
      <c r="M5">
        <f t="shared" si="1"/>
        <v>0.57890843040762485</v>
      </c>
      <c r="N5">
        <f t="shared" si="2"/>
        <v>0.3922176415850801</v>
      </c>
    </row>
    <row r="6" spans="1:14" x14ac:dyDescent="0.2">
      <c r="A6">
        <v>977</v>
      </c>
      <c r="B6">
        <v>59.232900000000001</v>
      </c>
      <c r="C6">
        <v>224.10499999999999</v>
      </c>
      <c r="D6">
        <v>7773.11</v>
      </c>
      <c r="E6">
        <v>61.245399999999997</v>
      </c>
      <c r="F6">
        <v>46.317599999999999</v>
      </c>
      <c r="G6">
        <v>5212.75</v>
      </c>
      <c r="H6">
        <v>39.599499999999999</v>
      </c>
      <c r="L6">
        <f t="shared" si="0"/>
        <v>13416.3604</v>
      </c>
      <c r="M6">
        <f t="shared" si="1"/>
        <v>0.57937546161923315</v>
      </c>
      <c r="N6">
        <f t="shared" si="2"/>
        <v>0.38853681956844272</v>
      </c>
    </row>
    <row r="7" spans="1:14" x14ac:dyDescent="0.2">
      <c r="A7">
        <v>1099</v>
      </c>
      <c r="B7">
        <v>48.200800000000001</v>
      </c>
      <c r="C7">
        <v>220.88800000000001</v>
      </c>
      <c r="D7">
        <v>7776.56</v>
      </c>
      <c r="E7">
        <v>64.080799999999996</v>
      </c>
      <c r="F7">
        <v>43.660299999999999</v>
      </c>
      <c r="G7">
        <v>5238.6499999999996</v>
      </c>
      <c r="H7">
        <v>42.787999999999997</v>
      </c>
      <c r="L7">
        <f t="shared" si="0"/>
        <v>13434.8279</v>
      </c>
      <c r="M7">
        <f t="shared" si="1"/>
        <v>0.57883584798283871</v>
      </c>
      <c r="N7">
        <f t="shared" si="2"/>
        <v>0.38993056248975094</v>
      </c>
    </row>
    <row r="8" spans="1:14" x14ac:dyDescent="0.2">
      <c r="A8">
        <v>1221</v>
      </c>
      <c r="B8">
        <v>52.8733</v>
      </c>
      <c r="C8">
        <v>253.28800000000001</v>
      </c>
      <c r="D8">
        <v>7757.7</v>
      </c>
      <c r="E8">
        <v>68.473299999999995</v>
      </c>
      <c r="F8">
        <v>42.509599999999999</v>
      </c>
      <c r="G8">
        <v>5244.55</v>
      </c>
      <c r="H8">
        <v>29.713200000000001</v>
      </c>
      <c r="L8">
        <f t="shared" si="0"/>
        <v>13449.107399999999</v>
      </c>
      <c r="M8">
        <f t="shared" si="1"/>
        <v>0.57681894933785716</v>
      </c>
      <c r="N8">
        <f t="shared" si="2"/>
        <v>0.38995524714153151</v>
      </c>
    </row>
    <row r="9" spans="1:14" x14ac:dyDescent="0.2">
      <c r="A9">
        <v>1343</v>
      </c>
      <c r="B9">
        <v>62.755499999999998</v>
      </c>
      <c r="C9">
        <v>261.471</v>
      </c>
      <c r="D9">
        <v>7782.21</v>
      </c>
      <c r="E9">
        <v>61.222700000000003</v>
      </c>
      <c r="F9">
        <v>33.722299999999997</v>
      </c>
      <c r="G9">
        <v>5195.1499999999996</v>
      </c>
      <c r="H9">
        <v>32.097099999999998</v>
      </c>
      <c r="L9">
        <f t="shared" si="0"/>
        <v>13428.6286</v>
      </c>
      <c r="M9">
        <f t="shared" si="1"/>
        <v>0.57952380930395231</v>
      </c>
      <c r="N9">
        <f t="shared" si="2"/>
        <v>0.38687122525676221</v>
      </c>
    </row>
    <row r="10" spans="1:14" x14ac:dyDescent="0.2">
      <c r="A10">
        <v>1465</v>
      </c>
      <c r="B10">
        <v>73.0137</v>
      </c>
      <c r="C10">
        <v>282.94900000000001</v>
      </c>
      <c r="D10">
        <v>7756.91</v>
      </c>
      <c r="E10">
        <v>60.143599999999999</v>
      </c>
      <c r="F10">
        <v>41.825699999999998</v>
      </c>
      <c r="G10">
        <v>5204.1899999999996</v>
      </c>
      <c r="H10">
        <v>30.749500000000001</v>
      </c>
      <c r="L10">
        <f t="shared" si="0"/>
        <v>13449.781499999999</v>
      </c>
      <c r="M10">
        <f t="shared" si="1"/>
        <v>0.5767313022891859</v>
      </c>
      <c r="N10">
        <f t="shared" si="2"/>
        <v>0.38693491042958578</v>
      </c>
    </row>
    <row r="11" spans="1:14" x14ac:dyDescent="0.2">
      <c r="A11">
        <v>1587</v>
      </c>
      <c r="B11">
        <v>72.361000000000004</v>
      </c>
      <c r="C11">
        <v>273.21699999999998</v>
      </c>
      <c r="D11">
        <v>7761.44</v>
      </c>
      <c r="E11">
        <v>73.464200000000005</v>
      </c>
      <c r="F11">
        <v>43.143500000000003</v>
      </c>
      <c r="G11">
        <v>5144.3100000000004</v>
      </c>
      <c r="H11">
        <v>31.819400000000002</v>
      </c>
      <c r="L11">
        <f t="shared" si="0"/>
        <v>13399.755100000002</v>
      </c>
      <c r="M11">
        <f t="shared" si="1"/>
        <v>0.57922252623855774</v>
      </c>
      <c r="N11">
        <f t="shared" si="2"/>
        <v>0.38391074774194939</v>
      </c>
    </row>
    <row r="12" spans="1:14" x14ac:dyDescent="0.2">
      <c r="A12">
        <v>1709</v>
      </c>
      <c r="B12">
        <v>70.974900000000005</v>
      </c>
      <c r="C12">
        <v>297.86599999999999</v>
      </c>
      <c r="D12">
        <v>7746.16</v>
      </c>
      <c r="E12">
        <v>59.1188</v>
      </c>
      <c r="F12">
        <v>43.179200000000002</v>
      </c>
      <c r="G12">
        <v>5188.93</v>
      </c>
      <c r="H12">
        <v>49.912100000000002</v>
      </c>
      <c r="L12">
        <f t="shared" si="0"/>
        <v>13456.141</v>
      </c>
      <c r="M12">
        <f t="shared" si="1"/>
        <v>0.57565984185213281</v>
      </c>
      <c r="N12">
        <f t="shared" si="2"/>
        <v>0.38561798661295243</v>
      </c>
    </row>
    <row r="13" spans="1:14" x14ac:dyDescent="0.2">
      <c r="A13">
        <v>1830</v>
      </c>
      <c r="B13">
        <v>68.863200000000006</v>
      </c>
      <c r="C13">
        <v>288.22500000000002</v>
      </c>
      <c r="D13">
        <v>7722.96</v>
      </c>
      <c r="E13">
        <v>74.468800000000002</v>
      </c>
      <c r="F13">
        <v>41.522199999999998</v>
      </c>
      <c r="G13">
        <v>5184.08</v>
      </c>
      <c r="H13">
        <v>33.616700000000002</v>
      </c>
      <c r="L13">
        <f t="shared" si="0"/>
        <v>13413.7359</v>
      </c>
      <c r="M13">
        <f t="shared" si="1"/>
        <v>0.57575011596881076</v>
      </c>
      <c r="N13">
        <f t="shared" si="2"/>
        <v>0.38647547846830649</v>
      </c>
    </row>
    <row r="14" spans="1:14" x14ac:dyDescent="0.2">
      <c r="A14">
        <v>1952</v>
      </c>
      <c r="B14">
        <v>67.271600000000007</v>
      </c>
      <c r="C14">
        <v>296.661</v>
      </c>
      <c r="D14">
        <v>7710.51</v>
      </c>
      <c r="E14">
        <v>66.876900000000006</v>
      </c>
      <c r="F14">
        <v>48.2727</v>
      </c>
      <c r="G14">
        <v>5215.0600000000004</v>
      </c>
      <c r="H14">
        <v>42.027500000000003</v>
      </c>
      <c r="L14">
        <f t="shared" si="0"/>
        <v>13446.679700000001</v>
      </c>
      <c r="M14">
        <f t="shared" si="1"/>
        <v>0.57341367326537862</v>
      </c>
      <c r="N14">
        <f t="shared" si="2"/>
        <v>0.38783254426741498</v>
      </c>
    </row>
    <row r="15" spans="1:14" x14ac:dyDescent="0.2">
      <c r="A15">
        <v>2074</v>
      </c>
      <c r="B15">
        <v>74.090199999999996</v>
      </c>
      <c r="C15">
        <v>310.90100000000001</v>
      </c>
      <c r="D15">
        <v>7748.77</v>
      </c>
      <c r="E15">
        <v>72.242099999999994</v>
      </c>
      <c r="F15">
        <v>37.905200000000001</v>
      </c>
      <c r="G15">
        <v>5157.54</v>
      </c>
      <c r="H15">
        <v>47.020800000000001</v>
      </c>
      <c r="L15">
        <f t="shared" si="0"/>
        <v>13448.469299999999</v>
      </c>
      <c r="M15">
        <f t="shared" si="1"/>
        <v>0.57618230202600096</v>
      </c>
      <c r="N15">
        <f t="shared" si="2"/>
        <v>0.38350386835474282</v>
      </c>
    </row>
    <row r="16" spans="1:14" x14ac:dyDescent="0.2">
      <c r="A16">
        <v>2196</v>
      </c>
      <c r="B16">
        <v>66.471699999999998</v>
      </c>
      <c r="C16">
        <v>297.92099999999999</v>
      </c>
      <c r="D16">
        <v>7689.34</v>
      </c>
      <c r="E16">
        <v>55.498800000000003</v>
      </c>
      <c r="F16">
        <v>35.694899999999997</v>
      </c>
      <c r="G16">
        <v>5151.24</v>
      </c>
      <c r="H16">
        <v>45.532499999999999</v>
      </c>
      <c r="L16">
        <f t="shared" si="0"/>
        <v>13341.698900000001</v>
      </c>
      <c r="M16">
        <f t="shared" si="1"/>
        <v>0.57633889489141443</v>
      </c>
      <c r="N16">
        <f t="shared" si="2"/>
        <v>0.38610075363040902</v>
      </c>
    </row>
    <row r="17" spans="1:14" x14ac:dyDescent="0.2">
      <c r="A17">
        <v>2318</v>
      </c>
      <c r="B17">
        <v>67.649100000000004</v>
      </c>
      <c r="C17">
        <v>304.279</v>
      </c>
      <c r="D17">
        <v>7760.37</v>
      </c>
      <c r="E17">
        <v>67.817400000000006</v>
      </c>
      <c r="F17">
        <v>31.605699999999999</v>
      </c>
      <c r="G17">
        <v>5155.3599999999997</v>
      </c>
      <c r="H17">
        <v>45.661799999999999</v>
      </c>
      <c r="L17">
        <f t="shared" si="0"/>
        <v>13432.743</v>
      </c>
      <c r="M17">
        <f t="shared" si="1"/>
        <v>0.57772042538147272</v>
      </c>
      <c r="N17">
        <f t="shared" si="2"/>
        <v>0.38379056310390214</v>
      </c>
    </row>
    <row r="18" spans="1:14" x14ac:dyDescent="0.2">
      <c r="A18">
        <v>2440</v>
      </c>
      <c r="B18">
        <v>55.025300000000001</v>
      </c>
      <c r="C18">
        <v>303.30599999999998</v>
      </c>
      <c r="D18">
        <v>7704.88</v>
      </c>
      <c r="E18">
        <v>93.722999999999999</v>
      </c>
      <c r="F18">
        <v>37.271000000000001</v>
      </c>
      <c r="G18">
        <v>5147.3900000000003</v>
      </c>
      <c r="H18">
        <v>40.990600000000001</v>
      </c>
      <c r="L18">
        <f t="shared" si="0"/>
        <v>13382.5859</v>
      </c>
      <c r="M18">
        <f t="shared" si="1"/>
        <v>0.57573925230698497</v>
      </c>
      <c r="N18">
        <f t="shared" si="2"/>
        <v>0.38463343620308837</v>
      </c>
    </row>
    <row r="19" spans="1:14" x14ac:dyDescent="0.2">
      <c r="A19">
        <v>2562</v>
      </c>
      <c r="B19">
        <v>76.051500000000004</v>
      </c>
      <c r="C19">
        <v>309.39999999999998</v>
      </c>
      <c r="D19">
        <v>7706.27</v>
      </c>
      <c r="E19">
        <v>48.647599999999997</v>
      </c>
      <c r="F19">
        <v>45.244100000000003</v>
      </c>
      <c r="G19">
        <v>5125.13</v>
      </c>
      <c r="H19">
        <v>54.014899999999997</v>
      </c>
      <c r="L19">
        <f t="shared" si="0"/>
        <v>13364.758100000001</v>
      </c>
      <c r="M19">
        <f t="shared" si="1"/>
        <v>0.57661125942863123</v>
      </c>
      <c r="N19">
        <f t="shared" si="2"/>
        <v>0.38348094007028827</v>
      </c>
    </row>
    <row r="20" spans="1:14" x14ac:dyDescent="0.2">
      <c r="A20">
        <v>2683</v>
      </c>
      <c r="B20">
        <v>67.377799999999993</v>
      </c>
      <c r="C20">
        <v>323.71100000000001</v>
      </c>
      <c r="D20">
        <v>7684.17</v>
      </c>
      <c r="E20">
        <v>87.570999999999998</v>
      </c>
      <c r="F20">
        <v>41.570300000000003</v>
      </c>
      <c r="G20">
        <v>5152.58</v>
      </c>
      <c r="H20">
        <v>40.912300000000002</v>
      </c>
      <c r="L20">
        <f t="shared" si="0"/>
        <v>13397.892399999999</v>
      </c>
      <c r="M20">
        <f t="shared" si="1"/>
        <v>0.57353573014215287</v>
      </c>
      <c r="N20">
        <f t="shared" si="2"/>
        <v>0.38458138386004653</v>
      </c>
    </row>
    <row r="21" spans="1:14" x14ac:dyDescent="0.2">
      <c r="A21">
        <v>2805</v>
      </c>
      <c r="B21">
        <v>69.880799999999994</v>
      </c>
      <c r="C21">
        <v>296.51</v>
      </c>
      <c r="D21">
        <v>7728.25</v>
      </c>
      <c r="E21">
        <v>60.455300000000001</v>
      </c>
      <c r="F21">
        <v>34.728099999999998</v>
      </c>
      <c r="G21">
        <v>5153.21</v>
      </c>
      <c r="H21">
        <v>46.621099999999998</v>
      </c>
      <c r="L21">
        <f t="shared" si="0"/>
        <v>13389.6553</v>
      </c>
      <c r="M21">
        <f t="shared" si="1"/>
        <v>0.57718065378426875</v>
      </c>
      <c r="N21">
        <f t="shared" si="2"/>
        <v>0.38486502337367862</v>
      </c>
    </row>
    <row r="22" spans="1:14" x14ac:dyDescent="0.2">
      <c r="A22">
        <v>2927</v>
      </c>
      <c r="B22">
        <v>62.869300000000003</v>
      </c>
      <c r="C22">
        <v>303.89499999999998</v>
      </c>
      <c r="D22">
        <v>7672.21</v>
      </c>
      <c r="E22">
        <v>89.767600000000002</v>
      </c>
      <c r="F22">
        <v>47.8108</v>
      </c>
      <c r="G22">
        <v>5117.12</v>
      </c>
      <c r="H22">
        <v>37.747799999999998</v>
      </c>
      <c r="L22">
        <f t="shared" si="0"/>
        <v>13331.420499999998</v>
      </c>
      <c r="M22">
        <f t="shared" si="1"/>
        <v>0.57549831242664662</v>
      </c>
      <c r="N22">
        <f t="shared" si="2"/>
        <v>0.38383906651207955</v>
      </c>
    </row>
    <row r="23" spans="1:14" x14ac:dyDescent="0.2">
      <c r="A23">
        <v>3049</v>
      </c>
      <c r="B23">
        <v>72.910300000000007</v>
      </c>
      <c r="C23">
        <v>316.33600000000001</v>
      </c>
      <c r="D23">
        <v>7695.15</v>
      </c>
      <c r="E23">
        <v>56.923400000000001</v>
      </c>
      <c r="F23">
        <v>41.0839</v>
      </c>
      <c r="G23">
        <v>5139.66</v>
      </c>
      <c r="H23">
        <v>43.811599999999999</v>
      </c>
      <c r="L23">
        <f t="shared" si="0"/>
        <v>13365.875199999999</v>
      </c>
      <c r="M23">
        <f t="shared" si="1"/>
        <v>0.57573109765382224</v>
      </c>
      <c r="N23">
        <f t="shared" si="2"/>
        <v>0.38453598609090711</v>
      </c>
    </row>
    <row r="24" spans="1:14" x14ac:dyDescent="0.2">
      <c r="A24">
        <v>3171</v>
      </c>
      <c r="B24">
        <v>74.305300000000003</v>
      </c>
      <c r="C24">
        <v>307.94</v>
      </c>
      <c r="D24">
        <v>7752.39</v>
      </c>
      <c r="E24">
        <v>90.452799999999996</v>
      </c>
      <c r="F24">
        <v>48.231099999999998</v>
      </c>
      <c r="G24">
        <v>5118.3100000000004</v>
      </c>
      <c r="H24">
        <v>37.345199999999998</v>
      </c>
      <c r="L24">
        <f t="shared" si="0"/>
        <v>13428.974399999999</v>
      </c>
      <c r="M24">
        <f t="shared" si="1"/>
        <v>0.57728831473533826</v>
      </c>
      <c r="N24">
        <f t="shared" si="2"/>
        <v>0.38113930725789458</v>
      </c>
    </row>
    <row r="25" spans="1:14" x14ac:dyDescent="0.2">
      <c r="A25">
        <v>3293</v>
      </c>
      <c r="B25">
        <v>78.015199999999993</v>
      </c>
      <c r="C25">
        <v>319.76</v>
      </c>
      <c r="D25">
        <v>7716.02</v>
      </c>
      <c r="E25">
        <v>41.474499999999999</v>
      </c>
      <c r="F25">
        <v>46.171300000000002</v>
      </c>
      <c r="G25">
        <v>5158.24</v>
      </c>
      <c r="H25">
        <v>34.595599999999997</v>
      </c>
      <c r="L25">
        <f t="shared" si="0"/>
        <v>13394.276600000001</v>
      </c>
      <c r="M25">
        <f t="shared" si="1"/>
        <v>0.57606843806704722</v>
      </c>
      <c r="N25">
        <f t="shared" si="2"/>
        <v>0.38510777058314588</v>
      </c>
    </row>
    <row r="27" spans="1:14" x14ac:dyDescent="0.2">
      <c r="A27" t="s">
        <v>0</v>
      </c>
      <c r="B27" t="s">
        <v>53</v>
      </c>
      <c r="C27" t="s">
        <v>54</v>
      </c>
      <c r="D27" t="s">
        <v>55</v>
      </c>
      <c r="E27" t="s">
        <v>56</v>
      </c>
      <c r="M27" t="s">
        <v>96</v>
      </c>
    </row>
    <row r="28" spans="1:14" x14ac:dyDescent="0.2">
      <c r="A28">
        <v>490</v>
      </c>
      <c r="B28">
        <v>13.3438</v>
      </c>
      <c r="C28">
        <v>161.239</v>
      </c>
      <c r="D28">
        <v>7774.23</v>
      </c>
      <c r="E28">
        <v>23.831700000000001</v>
      </c>
      <c r="L28">
        <f t="shared" si="0"/>
        <v>7972.6444999999994</v>
      </c>
      <c r="M28">
        <f>D28/L28</f>
        <v>0.97511308826073961</v>
      </c>
    </row>
    <row r="29" spans="1:14" x14ac:dyDescent="0.2">
      <c r="A29">
        <v>612</v>
      </c>
      <c r="B29">
        <v>47.392800000000001</v>
      </c>
      <c r="C29">
        <v>194.536</v>
      </c>
      <c r="D29">
        <v>7762.78</v>
      </c>
      <c r="E29">
        <v>27.261299999999999</v>
      </c>
      <c r="L29">
        <f t="shared" si="0"/>
        <v>8031.9700999999995</v>
      </c>
      <c r="M29">
        <f t="shared" ref="M29:M51" si="3">D29/L29</f>
        <v>0.96648517155212021</v>
      </c>
    </row>
    <row r="30" spans="1:14" x14ac:dyDescent="0.2">
      <c r="A30">
        <v>734</v>
      </c>
      <c r="B30">
        <v>21.230699999999999</v>
      </c>
      <c r="C30">
        <v>266.947</v>
      </c>
      <c r="D30">
        <v>7786.89</v>
      </c>
      <c r="E30">
        <v>12.661300000000001</v>
      </c>
      <c r="L30">
        <f t="shared" si="0"/>
        <v>8087.7290000000003</v>
      </c>
      <c r="M30">
        <f t="shared" si="3"/>
        <v>0.96280303160504022</v>
      </c>
    </row>
    <row r="31" spans="1:14" x14ac:dyDescent="0.2">
      <c r="A31">
        <v>856</v>
      </c>
      <c r="B31">
        <v>14.8079</v>
      </c>
      <c r="C31">
        <v>242.26499999999999</v>
      </c>
      <c r="D31">
        <v>7767.88</v>
      </c>
      <c r="E31">
        <v>34.685499999999998</v>
      </c>
      <c r="L31">
        <f t="shared" si="0"/>
        <v>8059.6383999999998</v>
      </c>
      <c r="M31">
        <f t="shared" si="3"/>
        <v>0.96380006328819912</v>
      </c>
    </row>
    <row r="32" spans="1:14" x14ac:dyDescent="0.2">
      <c r="A32">
        <v>977</v>
      </c>
      <c r="B32">
        <v>25.485900000000001</v>
      </c>
      <c r="C32">
        <v>320.74099999999999</v>
      </c>
      <c r="D32">
        <v>7753.15</v>
      </c>
      <c r="E32">
        <v>26.691800000000001</v>
      </c>
      <c r="L32">
        <f t="shared" si="0"/>
        <v>8126.0686999999989</v>
      </c>
      <c r="M32">
        <f t="shared" si="3"/>
        <v>0.95410835008077166</v>
      </c>
    </row>
    <row r="33" spans="1:13" x14ac:dyDescent="0.2">
      <c r="A33">
        <v>1099</v>
      </c>
      <c r="B33">
        <v>21.5947</v>
      </c>
      <c r="C33">
        <v>343.988</v>
      </c>
      <c r="D33">
        <v>7643.59</v>
      </c>
      <c r="E33">
        <v>47.453299999999999</v>
      </c>
      <c r="L33">
        <f t="shared" si="0"/>
        <v>8056.6260000000002</v>
      </c>
      <c r="M33">
        <f t="shared" si="3"/>
        <v>0.9487333779674022</v>
      </c>
    </row>
    <row r="34" spans="1:13" x14ac:dyDescent="0.2">
      <c r="A34">
        <v>1221</v>
      </c>
      <c r="B34">
        <v>32.511499999999998</v>
      </c>
      <c r="C34">
        <v>295.26400000000001</v>
      </c>
      <c r="D34">
        <v>7719.28</v>
      </c>
      <c r="E34">
        <v>44.327100000000002</v>
      </c>
      <c r="L34">
        <f t="shared" si="0"/>
        <v>8091.3825999999999</v>
      </c>
      <c r="M34">
        <f t="shared" si="3"/>
        <v>0.95401248236611624</v>
      </c>
    </row>
    <row r="35" spans="1:13" x14ac:dyDescent="0.2">
      <c r="A35">
        <v>1343</v>
      </c>
      <c r="B35">
        <v>41.489899999999999</v>
      </c>
      <c r="C35">
        <v>287.661</v>
      </c>
      <c r="D35">
        <v>7699.26</v>
      </c>
      <c r="E35">
        <v>46.201000000000001</v>
      </c>
      <c r="L35">
        <f t="shared" si="0"/>
        <v>8074.6118999999999</v>
      </c>
      <c r="M35">
        <f t="shared" si="3"/>
        <v>0.95351455839010668</v>
      </c>
    </row>
    <row r="36" spans="1:13" x14ac:dyDescent="0.2">
      <c r="A36">
        <v>1465</v>
      </c>
      <c r="B36">
        <v>32.764499999999998</v>
      </c>
      <c r="C36">
        <v>324.07299999999998</v>
      </c>
      <c r="D36">
        <v>7667.03</v>
      </c>
      <c r="E36">
        <v>16.678100000000001</v>
      </c>
      <c r="L36">
        <f t="shared" si="0"/>
        <v>8040.5455999999995</v>
      </c>
      <c r="M36">
        <f t="shared" si="3"/>
        <v>0.95354598822249081</v>
      </c>
    </row>
    <row r="37" spans="1:13" x14ac:dyDescent="0.2">
      <c r="A37">
        <v>1587</v>
      </c>
      <c r="B37">
        <v>19.6143</v>
      </c>
      <c r="C37">
        <v>354.90199999999999</v>
      </c>
      <c r="D37">
        <v>7661.43</v>
      </c>
      <c r="E37">
        <v>29.5105</v>
      </c>
      <c r="L37">
        <f t="shared" si="0"/>
        <v>8065.4568000000008</v>
      </c>
      <c r="M37">
        <f t="shared" si="3"/>
        <v>0.94990651986382213</v>
      </c>
    </row>
    <row r="38" spans="1:13" x14ac:dyDescent="0.2">
      <c r="A38">
        <v>1709</v>
      </c>
      <c r="B38">
        <v>26.900500000000001</v>
      </c>
      <c r="C38">
        <v>339.06900000000002</v>
      </c>
      <c r="D38">
        <v>7606.04</v>
      </c>
      <c r="E38">
        <v>17.2788</v>
      </c>
      <c r="L38">
        <f t="shared" si="0"/>
        <v>7989.2883000000002</v>
      </c>
      <c r="M38">
        <f t="shared" si="3"/>
        <v>0.9520297321101806</v>
      </c>
    </row>
    <row r="39" spans="1:13" x14ac:dyDescent="0.2">
      <c r="A39">
        <v>1830</v>
      </c>
      <c r="B39">
        <v>18.71</v>
      </c>
      <c r="C39">
        <v>336.15600000000001</v>
      </c>
      <c r="D39">
        <v>7639.6</v>
      </c>
      <c r="E39">
        <v>15.214600000000001</v>
      </c>
      <c r="L39">
        <f t="shared" si="0"/>
        <v>8009.6806000000006</v>
      </c>
      <c r="M39">
        <f t="shared" si="3"/>
        <v>0.9537958355043521</v>
      </c>
    </row>
    <row r="40" spans="1:13" x14ac:dyDescent="0.2">
      <c r="A40">
        <v>1952</v>
      </c>
      <c r="B40">
        <v>52.1661</v>
      </c>
      <c r="C40">
        <v>317.238</v>
      </c>
      <c r="D40">
        <v>7677.77</v>
      </c>
      <c r="E40">
        <v>12.9733</v>
      </c>
      <c r="L40">
        <f t="shared" si="0"/>
        <v>8060.1473999999998</v>
      </c>
      <c r="M40">
        <f t="shared" si="3"/>
        <v>0.95255950282001056</v>
      </c>
    </row>
    <row r="41" spans="1:13" x14ac:dyDescent="0.2">
      <c r="A41">
        <v>2074</v>
      </c>
      <c r="B41">
        <v>43.097799999999999</v>
      </c>
      <c r="C41">
        <v>347.59500000000003</v>
      </c>
      <c r="D41">
        <v>7607.69</v>
      </c>
      <c r="E41">
        <v>12.1134</v>
      </c>
      <c r="L41">
        <f t="shared" si="0"/>
        <v>8010.4961999999996</v>
      </c>
      <c r="M41">
        <f t="shared" si="3"/>
        <v>0.94971519991483178</v>
      </c>
    </row>
    <row r="42" spans="1:13" x14ac:dyDescent="0.2">
      <c r="A42">
        <v>2196</v>
      </c>
      <c r="B42">
        <v>38.137900000000002</v>
      </c>
      <c r="C42">
        <v>352.46100000000001</v>
      </c>
      <c r="D42">
        <v>7591.6</v>
      </c>
      <c r="E42">
        <v>27.177600000000002</v>
      </c>
      <c r="L42">
        <f t="shared" si="0"/>
        <v>8009.3765000000003</v>
      </c>
      <c r="M42">
        <f t="shared" si="3"/>
        <v>0.94783907336607287</v>
      </c>
    </row>
    <row r="43" spans="1:13" x14ac:dyDescent="0.2">
      <c r="A43">
        <v>2318</v>
      </c>
      <c r="B43">
        <v>47.661999999999999</v>
      </c>
      <c r="C43">
        <v>379.20499999999998</v>
      </c>
      <c r="D43">
        <v>7653.14</v>
      </c>
      <c r="E43">
        <v>17.345099999999999</v>
      </c>
      <c r="L43">
        <f t="shared" si="0"/>
        <v>8097.3521000000001</v>
      </c>
      <c r="M43">
        <f t="shared" si="3"/>
        <v>0.9451410665469272</v>
      </c>
    </row>
    <row r="44" spans="1:13" x14ac:dyDescent="0.2">
      <c r="A44">
        <v>2440</v>
      </c>
      <c r="B44">
        <v>30.676400000000001</v>
      </c>
      <c r="C44">
        <v>381.7</v>
      </c>
      <c r="D44">
        <v>7639.19</v>
      </c>
      <c r="E44">
        <v>10.0291</v>
      </c>
      <c r="L44">
        <f t="shared" si="0"/>
        <v>8061.5954999999994</v>
      </c>
      <c r="M44">
        <f t="shared" si="3"/>
        <v>0.947602741913806</v>
      </c>
    </row>
    <row r="45" spans="1:13" x14ac:dyDescent="0.2">
      <c r="A45">
        <v>2562</v>
      </c>
      <c r="B45">
        <v>46.095199999999998</v>
      </c>
      <c r="C45">
        <v>368.65699999999998</v>
      </c>
      <c r="D45">
        <v>7615.43</v>
      </c>
      <c r="E45">
        <v>19.4588</v>
      </c>
      <c r="L45">
        <f t="shared" si="0"/>
        <v>8049.6410000000005</v>
      </c>
      <c r="M45">
        <f t="shared" si="3"/>
        <v>0.9460583397445923</v>
      </c>
    </row>
    <row r="46" spans="1:13" x14ac:dyDescent="0.2">
      <c r="A46">
        <v>2683</v>
      </c>
      <c r="B46">
        <v>41.589399999999998</v>
      </c>
      <c r="C46">
        <v>374.63499999999999</v>
      </c>
      <c r="D46">
        <v>7631.05</v>
      </c>
      <c r="E46">
        <v>23.1615</v>
      </c>
      <c r="L46">
        <f t="shared" si="0"/>
        <v>8070.4359000000004</v>
      </c>
      <c r="M46">
        <f t="shared" si="3"/>
        <v>0.9455561130223461</v>
      </c>
    </row>
    <row r="47" spans="1:13" x14ac:dyDescent="0.2">
      <c r="A47">
        <v>2805</v>
      </c>
      <c r="B47">
        <v>34.476799999999997</v>
      </c>
      <c r="C47">
        <v>364.834</v>
      </c>
      <c r="D47">
        <v>7596.12</v>
      </c>
      <c r="E47">
        <v>18.444600000000001</v>
      </c>
      <c r="L47">
        <f t="shared" si="0"/>
        <v>8013.8753999999999</v>
      </c>
      <c r="M47">
        <f t="shared" si="3"/>
        <v>0.9478709888601462</v>
      </c>
    </row>
    <row r="48" spans="1:13" x14ac:dyDescent="0.2">
      <c r="A48">
        <v>2927</v>
      </c>
      <c r="B48">
        <v>32.993699999999997</v>
      </c>
      <c r="C48">
        <v>385.87700000000001</v>
      </c>
      <c r="D48">
        <v>7598.24</v>
      </c>
      <c r="E48">
        <v>15.996600000000001</v>
      </c>
      <c r="L48">
        <f t="shared" si="0"/>
        <v>8033.1073000000006</v>
      </c>
      <c r="M48">
        <f t="shared" si="3"/>
        <v>0.94586561790354762</v>
      </c>
    </row>
    <row r="49" spans="1:13" x14ac:dyDescent="0.2">
      <c r="A49">
        <v>3049</v>
      </c>
      <c r="B49">
        <v>59.878</v>
      </c>
      <c r="C49">
        <v>359.61799999999999</v>
      </c>
      <c r="D49">
        <v>7583.56</v>
      </c>
      <c r="E49">
        <v>28.476500000000001</v>
      </c>
      <c r="L49">
        <f t="shared" si="0"/>
        <v>8031.5325000000003</v>
      </c>
      <c r="M49">
        <f t="shared" si="3"/>
        <v>0.94422328490857754</v>
      </c>
    </row>
    <row r="50" spans="1:13" x14ac:dyDescent="0.2">
      <c r="A50">
        <v>3171</v>
      </c>
      <c r="B50">
        <v>66.648300000000006</v>
      </c>
      <c r="C50">
        <v>378.07600000000002</v>
      </c>
      <c r="D50">
        <v>7596.23</v>
      </c>
      <c r="E50">
        <v>26.630299999999998</v>
      </c>
      <c r="L50">
        <f t="shared" si="0"/>
        <v>8067.5845999999992</v>
      </c>
      <c r="M50">
        <f t="shared" si="3"/>
        <v>0.94157426003317035</v>
      </c>
    </row>
    <row r="51" spans="1:13" x14ac:dyDescent="0.2">
      <c r="A51">
        <v>3293</v>
      </c>
      <c r="B51">
        <v>38.782699999999998</v>
      </c>
      <c r="C51">
        <v>359.61799999999999</v>
      </c>
      <c r="D51">
        <v>7585.86</v>
      </c>
      <c r="E51">
        <v>20.768799999999999</v>
      </c>
      <c r="L51">
        <f t="shared" si="0"/>
        <v>8005.0294999999996</v>
      </c>
      <c r="M51">
        <f t="shared" si="3"/>
        <v>0.9476367326316536</v>
      </c>
    </row>
    <row r="53" spans="1:13" x14ac:dyDescent="0.2">
      <c r="A53" t="s">
        <v>0</v>
      </c>
      <c r="B53" t="s">
        <v>45</v>
      </c>
    </row>
    <row r="54" spans="1:13" x14ac:dyDescent="0.2">
      <c r="A54">
        <v>490</v>
      </c>
      <c r="B54">
        <v>40677</v>
      </c>
      <c r="L54">
        <f t="shared" si="0"/>
        <v>40677</v>
      </c>
    </row>
    <row r="55" spans="1:13" x14ac:dyDescent="0.2">
      <c r="A55">
        <v>612</v>
      </c>
      <c r="B55">
        <v>34331.800000000003</v>
      </c>
      <c r="L55">
        <f t="shared" si="0"/>
        <v>34331.800000000003</v>
      </c>
    </row>
    <row r="56" spans="1:13" x14ac:dyDescent="0.2">
      <c r="A56">
        <v>734</v>
      </c>
      <c r="B56">
        <v>29001.4</v>
      </c>
      <c r="L56">
        <f t="shared" si="0"/>
        <v>29001.4</v>
      </c>
    </row>
    <row r="57" spans="1:13" x14ac:dyDescent="0.2">
      <c r="A57">
        <v>856</v>
      </c>
      <c r="B57">
        <v>24591.1</v>
      </c>
      <c r="L57">
        <f t="shared" si="0"/>
        <v>24591.1</v>
      </c>
    </row>
    <row r="58" spans="1:13" x14ac:dyDescent="0.2">
      <c r="A58">
        <v>977</v>
      </c>
      <c r="B58">
        <v>20719.8</v>
      </c>
      <c r="L58">
        <f t="shared" si="0"/>
        <v>20719.8</v>
      </c>
    </row>
    <row r="59" spans="1:13" x14ac:dyDescent="0.2">
      <c r="A59">
        <v>1099</v>
      </c>
      <c r="B59">
        <v>17477.8</v>
      </c>
      <c r="L59">
        <f t="shared" si="0"/>
        <v>17477.8</v>
      </c>
    </row>
    <row r="60" spans="1:13" x14ac:dyDescent="0.2">
      <c r="A60">
        <v>1221</v>
      </c>
      <c r="B60">
        <v>14835.1</v>
      </c>
      <c r="L60">
        <f t="shared" si="0"/>
        <v>14835.1</v>
      </c>
    </row>
    <row r="61" spans="1:13" x14ac:dyDescent="0.2">
      <c r="A61">
        <v>1343</v>
      </c>
      <c r="B61">
        <v>12465.2</v>
      </c>
      <c r="L61">
        <f t="shared" si="0"/>
        <v>12465.2</v>
      </c>
    </row>
    <row r="62" spans="1:13" x14ac:dyDescent="0.2">
      <c r="A62">
        <v>1465</v>
      </c>
      <c r="B62">
        <v>10546.2</v>
      </c>
      <c r="L62">
        <f t="shared" si="0"/>
        <v>10546.2</v>
      </c>
    </row>
    <row r="63" spans="1:13" x14ac:dyDescent="0.2">
      <c r="A63">
        <v>1587</v>
      </c>
      <c r="B63">
        <v>8878.93</v>
      </c>
      <c r="L63">
        <f t="shared" si="0"/>
        <v>8878.93</v>
      </c>
    </row>
    <row r="64" spans="1:13" x14ac:dyDescent="0.2">
      <c r="A64">
        <v>1709</v>
      </c>
      <c r="B64">
        <v>7506.48</v>
      </c>
      <c r="L64">
        <f t="shared" si="0"/>
        <v>7506.48</v>
      </c>
    </row>
    <row r="65" spans="1:12" x14ac:dyDescent="0.2">
      <c r="A65">
        <v>1830</v>
      </c>
      <c r="B65">
        <v>6199.84</v>
      </c>
      <c r="L65">
        <f t="shared" si="0"/>
        <v>6199.84</v>
      </c>
    </row>
    <row r="66" spans="1:12" x14ac:dyDescent="0.2">
      <c r="A66">
        <v>1952</v>
      </c>
      <c r="B66">
        <v>5292.08</v>
      </c>
      <c r="L66">
        <f t="shared" si="0"/>
        <v>5292.08</v>
      </c>
    </row>
    <row r="67" spans="1:12" x14ac:dyDescent="0.2">
      <c r="A67">
        <v>2074</v>
      </c>
      <c r="B67">
        <v>4520.8500000000004</v>
      </c>
      <c r="L67">
        <f t="shared" ref="L67:L77" si="4">SUM(B67:J67)</f>
        <v>4520.8500000000004</v>
      </c>
    </row>
    <row r="68" spans="1:12" x14ac:dyDescent="0.2">
      <c r="A68">
        <v>2196</v>
      </c>
      <c r="B68">
        <v>3613.73</v>
      </c>
      <c r="L68">
        <f t="shared" si="4"/>
        <v>3613.73</v>
      </c>
    </row>
    <row r="69" spans="1:12" x14ac:dyDescent="0.2">
      <c r="A69">
        <v>2318</v>
      </c>
      <c r="B69">
        <v>3208.38</v>
      </c>
      <c r="L69">
        <f t="shared" si="4"/>
        <v>3208.38</v>
      </c>
    </row>
    <row r="70" spans="1:12" x14ac:dyDescent="0.2">
      <c r="A70">
        <v>2440</v>
      </c>
      <c r="B70">
        <v>2555.9</v>
      </c>
      <c r="L70">
        <f t="shared" si="4"/>
        <v>2555.9</v>
      </c>
    </row>
    <row r="71" spans="1:12" x14ac:dyDescent="0.2">
      <c r="A71">
        <v>2562</v>
      </c>
      <c r="B71">
        <v>2237.11</v>
      </c>
      <c r="L71">
        <f t="shared" si="4"/>
        <v>2237.11</v>
      </c>
    </row>
    <row r="72" spans="1:12" x14ac:dyDescent="0.2">
      <c r="A72">
        <v>2683</v>
      </c>
      <c r="B72">
        <v>1972.73</v>
      </c>
      <c r="L72">
        <f t="shared" si="4"/>
        <v>1972.73</v>
      </c>
    </row>
    <row r="73" spans="1:12" x14ac:dyDescent="0.2">
      <c r="A73">
        <v>2805</v>
      </c>
      <c r="B73">
        <v>1669.45</v>
      </c>
      <c r="L73">
        <f t="shared" si="4"/>
        <v>1669.45</v>
      </c>
    </row>
    <row r="74" spans="1:12" x14ac:dyDescent="0.2">
      <c r="A74">
        <v>2927</v>
      </c>
      <c r="B74">
        <v>1285.01</v>
      </c>
      <c r="L74">
        <f t="shared" si="4"/>
        <v>1285.01</v>
      </c>
    </row>
    <row r="75" spans="1:12" x14ac:dyDescent="0.2">
      <c r="A75">
        <v>3049</v>
      </c>
      <c r="B75">
        <v>1142.94</v>
      </c>
      <c r="L75">
        <f t="shared" si="4"/>
        <v>1142.94</v>
      </c>
    </row>
    <row r="76" spans="1:12" x14ac:dyDescent="0.2">
      <c r="A76">
        <v>3171</v>
      </c>
      <c r="B76">
        <v>912.024</v>
      </c>
      <c r="L76">
        <f t="shared" si="4"/>
        <v>912.024</v>
      </c>
    </row>
    <row r="77" spans="1:12" x14ac:dyDescent="0.2">
      <c r="A77">
        <v>3293</v>
      </c>
      <c r="B77">
        <v>890.75400000000002</v>
      </c>
      <c r="L77">
        <f t="shared" si="4"/>
        <v>890.75400000000002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040F-C8ED-E94F-BEE3-1AAEA329F9C0}">
  <dimension ref="A1:N71"/>
  <sheetViews>
    <sheetView workbookViewId="0">
      <selection activeCell="G1" sqref="G1"/>
    </sheetView>
  </sheetViews>
  <sheetFormatPr baseColWidth="10" defaultRowHeight="16" x14ac:dyDescent="0.2"/>
  <sheetData>
    <row r="1" spans="1:14" x14ac:dyDescent="0.2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L1" t="s">
        <v>93</v>
      </c>
      <c r="M1" t="s">
        <v>94</v>
      </c>
      <c r="N1" t="s">
        <v>95</v>
      </c>
    </row>
    <row r="2" spans="1:14" x14ac:dyDescent="0.2">
      <c r="A2">
        <v>404</v>
      </c>
      <c r="B2">
        <v>48.475900000000003</v>
      </c>
      <c r="C2">
        <v>126.697</v>
      </c>
      <c r="D2">
        <v>7511.92</v>
      </c>
      <c r="E2">
        <v>43.3033</v>
      </c>
      <c r="F2">
        <v>39.935499999999998</v>
      </c>
      <c r="G2">
        <v>5258.63</v>
      </c>
      <c r="H2">
        <v>35.357700000000001</v>
      </c>
      <c r="L2">
        <f>SUM(B2:J2)</f>
        <v>13064.3194</v>
      </c>
      <c r="M2">
        <f>D2/L2</f>
        <v>0.57499512756860494</v>
      </c>
      <c r="N2">
        <f>G2/L2</f>
        <v>0.40251848098569909</v>
      </c>
    </row>
    <row r="3" spans="1:14" x14ac:dyDescent="0.2">
      <c r="A3">
        <v>526</v>
      </c>
      <c r="B3">
        <v>64.090400000000002</v>
      </c>
      <c r="C3">
        <v>154.166</v>
      </c>
      <c r="D3">
        <v>7577.61</v>
      </c>
      <c r="E3">
        <v>45.755200000000002</v>
      </c>
      <c r="F3">
        <v>42.639499999999998</v>
      </c>
      <c r="G3">
        <v>5189.8500000000004</v>
      </c>
      <c r="H3">
        <v>45.162100000000002</v>
      </c>
      <c r="L3">
        <f t="shared" ref="L3:L66" si="0">SUM(B3:J3)</f>
        <v>13119.2732</v>
      </c>
      <c r="M3">
        <f t="shared" ref="M3:M23" si="1">D3/L3</f>
        <v>0.57759373438461514</v>
      </c>
      <c r="N3">
        <f t="shared" ref="N3:N23" si="2">G3/L3</f>
        <v>0.39558974959070148</v>
      </c>
    </row>
    <row r="4" spans="1:14" x14ac:dyDescent="0.2">
      <c r="A4">
        <v>648</v>
      </c>
      <c r="B4">
        <v>69.727400000000003</v>
      </c>
      <c r="C4">
        <v>157.32300000000001</v>
      </c>
      <c r="D4">
        <v>7471.9</v>
      </c>
      <c r="E4">
        <v>48.613199999999999</v>
      </c>
      <c r="F4">
        <v>41.691299999999998</v>
      </c>
      <c r="G4">
        <v>5154.8</v>
      </c>
      <c r="H4">
        <v>38.950000000000003</v>
      </c>
      <c r="L4">
        <f t="shared" si="0"/>
        <v>12983.0049</v>
      </c>
      <c r="M4">
        <f t="shared" si="1"/>
        <v>0.57551391665884677</v>
      </c>
      <c r="N4">
        <f t="shared" si="2"/>
        <v>0.3970421362160928</v>
      </c>
    </row>
    <row r="5" spans="1:14" x14ac:dyDescent="0.2">
      <c r="A5">
        <v>770</v>
      </c>
      <c r="B5">
        <v>45.498800000000003</v>
      </c>
      <c r="C5">
        <v>181.965</v>
      </c>
      <c r="D5">
        <v>7441.3</v>
      </c>
      <c r="E5">
        <v>39.430999999999997</v>
      </c>
      <c r="F5">
        <v>37.923299999999998</v>
      </c>
      <c r="G5">
        <v>5174.24</v>
      </c>
      <c r="H5">
        <v>42.029600000000002</v>
      </c>
      <c r="L5">
        <f t="shared" si="0"/>
        <v>12962.387700000001</v>
      </c>
      <c r="M5">
        <f t="shared" si="1"/>
        <v>0.57406861854625746</v>
      </c>
      <c r="N5">
        <f t="shared" si="2"/>
        <v>0.39917337143063536</v>
      </c>
    </row>
    <row r="6" spans="1:14" x14ac:dyDescent="0.2">
      <c r="A6">
        <v>892</v>
      </c>
      <c r="B6">
        <v>67.279399999999995</v>
      </c>
      <c r="C6">
        <v>211.49600000000001</v>
      </c>
      <c r="D6">
        <v>7502.7</v>
      </c>
      <c r="E6">
        <v>57.196199999999997</v>
      </c>
      <c r="F6">
        <v>41.095599999999997</v>
      </c>
      <c r="G6">
        <v>5139.79</v>
      </c>
      <c r="H6">
        <v>41.0961</v>
      </c>
      <c r="L6">
        <f t="shared" si="0"/>
        <v>13060.6533</v>
      </c>
      <c r="M6">
        <f t="shared" si="1"/>
        <v>0.57445059046165781</v>
      </c>
      <c r="N6">
        <f t="shared" si="2"/>
        <v>0.39353238172243649</v>
      </c>
    </row>
    <row r="7" spans="1:14" x14ac:dyDescent="0.2">
      <c r="A7">
        <v>1014</v>
      </c>
      <c r="B7">
        <v>57.442900000000002</v>
      </c>
      <c r="C7">
        <v>235.666</v>
      </c>
      <c r="D7">
        <v>7500.38</v>
      </c>
      <c r="E7">
        <v>47.798699999999997</v>
      </c>
      <c r="F7">
        <v>33.8354</v>
      </c>
      <c r="G7">
        <v>5112.04</v>
      </c>
      <c r="H7">
        <v>48.363199999999999</v>
      </c>
      <c r="L7">
        <f t="shared" si="0"/>
        <v>13035.5262</v>
      </c>
      <c r="M7">
        <f t="shared" si="1"/>
        <v>0.5753799183035665</v>
      </c>
      <c r="N7">
        <f t="shared" si="2"/>
        <v>0.3921621514596012</v>
      </c>
    </row>
    <row r="8" spans="1:14" x14ac:dyDescent="0.2">
      <c r="A8">
        <v>1136</v>
      </c>
      <c r="B8">
        <v>65.673900000000003</v>
      </c>
      <c r="C8">
        <v>223.143</v>
      </c>
      <c r="D8">
        <v>7481.51</v>
      </c>
      <c r="E8">
        <v>62.302399999999999</v>
      </c>
      <c r="F8">
        <v>26.197700000000001</v>
      </c>
      <c r="G8">
        <v>5081.6000000000004</v>
      </c>
      <c r="H8">
        <v>47.455599999999997</v>
      </c>
      <c r="L8">
        <f t="shared" si="0"/>
        <v>12987.882599999999</v>
      </c>
      <c r="M8">
        <f t="shared" si="1"/>
        <v>0.57603769840050767</v>
      </c>
      <c r="N8">
        <f t="shared" si="2"/>
        <v>0.39125700135293806</v>
      </c>
    </row>
    <row r="9" spans="1:14" x14ac:dyDescent="0.2">
      <c r="A9">
        <v>1257</v>
      </c>
      <c r="B9">
        <v>75.520799999999994</v>
      </c>
      <c r="C9">
        <v>247.03899999999999</v>
      </c>
      <c r="D9">
        <v>7582.28</v>
      </c>
      <c r="E9">
        <v>46.948799999999999</v>
      </c>
      <c r="F9">
        <v>46.912399999999998</v>
      </c>
      <c r="G9">
        <v>5190.9799999999996</v>
      </c>
      <c r="H9">
        <v>42.8932</v>
      </c>
      <c r="L9">
        <f t="shared" si="0"/>
        <v>13232.574200000001</v>
      </c>
      <c r="M9">
        <f t="shared" si="1"/>
        <v>0.57300113231180672</v>
      </c>
      <c r="N9">
        <f t="shared" si="2"/>
        <v>0.39228799487857768</v>
      </c>
    </row>
    <row r="10" spans="1:14" x14ac:dyDescent="0.2">
      <c r="A10">
        <v>1379</v>
      </c>
      <c r="B10">
        <v>64.078599999999994</v>
      </c>
      <c r="C10">
        <v>250.233</v>
      </c>
      <c r="D10">
        <v>7512.08</v>
      </c>
      <c r="E10">
        <v>54.710799999999999</v>
      </c>
      <c r="F10">
        <v>38.725299999999997</v>
      </c>
      <c r="G10">
        <v>5161.03</v>
      </c>
      <c r="H10">
        <v>47.178100000000001</v>
      </c>
      <c r="L10">
        <f t="shared" si="0"/>
        <v>13128.0358</v>
      </c>
      <c r="M10">
        <f t="shared" si="1"/>
        <v>0.57221659922651946</v>
      </c>
      <c r="N10">
        <f t="shared" si="2"/>
        <v>0.39313040264561128</v>
      </c>
    </row>
    <row r="11" spans="1:14" x14ac:dyDescent="0.2">
      <c r="A11">
        <v>1501</v>
      </c>
      <c r="B11">
        <v>57.107300000000002</v>
      </c>
      <c r="C11">
        <v>266.92399999999998</v>
      </c>
      <c r="D11">
        <v>7547.93</v>
      </c>
      <c r="E11">
        <v>62.962200000000003</v>
      </c>
      <c r="F11">
        <v>41.334299999999999</v>
      </c>
      <c r="G11">
        <v>5119.1000000000004</v>
      </c>
      <c r="H11">
        <v>22.037500000000001</v>
      </c>
      <c r="L11">
        <f t="shared" si="0"/>
        <v>13117.395300000002</v>
      </c>
      <c r="M11">
        <f t="shared" si="1"/>
        <v>0.57541377898400292</v>
      </c>
      <c r="N11">
        <f t="shared" si="2"/>
        <v>0.39025278135820146</v>
      </c>
    </row>
    <row r="12" spans="1:14" x14ac:dyDescent="0.2">
      <c r="A12">
        <v>1623</v>
      </c>
      <c r="B12">
        <v>67.890900000000002</v>
      </c>
      <c r="C12">
        <v>266.875</v>
      </c>
      <c r="D12">
        <v>7580.73</v>
      </c>
      <c r="E12">
        <v>66.914000000000001</v>
      </c>
      <c r="F12">
        <v>35.981999999999999</v>
      </c>
      <c r="G12">
        <v>5096.72</v>
      </c>
      <c r="H12">
        <v>41.818399999999997</v>
      </c>
      <c r="L12">
        <f t="shared" si="0"/>
        <v>13156.9303</v>
      </c>
      <c r="M12">
        <f t="shared" si="1"/>
        <v>0.57617771221300762</v>
      </c>
      <c r="N12">
        <f t="shared" si="2"/>
        <v>0.38737911380438034</v>
      </c>
    </row>
    <row r="13" spans="1:14" x14ac:dyDescent="0.2">
      <c r="A13">
        <v>1745</v>
      </c>
      <c r="B13">
        <v>51.425199999999997</v>
      </c>
      <c r="C13">
        <v>281.96300000000002</v>
      </c>
      <c r="D13">
        <v>7540.52</v>
      </c>
      <c r="E13">
        <v>56.927700000000002</v>
      </c>
      <c r="F13">
        <v>36.319800000000001</v>
      </c>
      <c r="G13">
        <v>5083.91</v>
      </c>
      <c r="H13">
        <v>43.374499999999998</v>
      </c>
      <c r="L13">
        <f t="shared" si="0"/>
        <v>13094.440200000001</v>
      </c>
      <c r="M13">
        <f t="shared" si="1"/>
        <v>0.57585661432093904</v>
      </c>
      <c r="N13">
        <f t="shared" si="2"/>
        <v>0.38824951065872976</v>
      </c>
    </row>
    <row r="14" spans="1:14" x14ac:dyDescent="0.2">
      <c r="A14">
        <v>1867</v>
      </c>
      <c r="B14">
        <v>71.117099999999994</v>
      </c>
      <c r="C14">
        <v>283.02699999999999</v>
      </c>
      <c r="D14">
        <v>7572.28</v>
      </c>
      <c r="E14">
        <v>69.775899999999993</v>
      </c>
      <c r="F14">
        <v>37.909599999999998</v>
      </c>
      <c r="G14">
        <v>5108.59</v>
      </c>
      <c r="H14">
        <v>47.926200000000001</v>
      </c>
      <c r="L14">
        <f t="shared" si="0"/>
        <v>13190.6258</v>
      </c>
      <c r="M14">
        <f t="shared" si="1"/>
        <v>0.57406525776813411</v>
      </c>
      <c r="N14">
        <f t="shared" si="2"/>
        <v>0.38728943398576282</v>
      </c>
    </row>
    <row r="15" spans="1:14" x14ac:dyDescent="0.2">
      <c r="A15">
        <v>1989</v>
      </c>
      <c r="B15">
        <v>52.827100000000002</v>
      </c>
      <c r="C15">
        <v>288.16699999999997</v>
      </c>
      <c r="D15">
        <v>7543.8</v>
      </c>
      <c r="E15">
        <v>69.937700000000007</v>
      </c>
      <c r="F15">
        <v>39.923699999999997</v>
      </c>
      <c r="G15">
        <v>5103.8999999999996</v>
      </c>
      <c r="H15">
        <v>36.922499999999999</v>
      </c>
      <c r="L15">
        <f t="shared" si="0"/>
        <v>13135.478000000001</v>
      </c>
      <c r="M15">
        <f t="shared" si="1"/>
        <v>0.5743072311491062</v>
      </c>
      <c r="N15">
        <f t="shared" si="2"/>
        <v>0.38855837602560023</v>
      </c>
    </row>
    <row r="16" spans="1:14" x14ac:dyDescent="0.2">
      <c r="A16">
        <v>2110</v>
      </c>
      <c r="B16">
        <v>69.493600000000001</v>
      </c>
      <c r="C16">
        <v>298.60599999999999</v>
      </c>
      <c r="D16">
        <v>7574.41</v>
      </c>
      <c r="E16">
        <v>84.362899999999996</v>
      </c>
      <c r="F16">
        <v>32.721499999999999</v>
      </c>
      <c r="G16">
        <v>5103.24</v>
      </c>
      <c r="H16">
        <v>48.363199999999999</v>
      </c>
      <c r="L16">
        <f t="shared" si="0"/>
        <v>13211.197199999999</v>
      </c>
      <c r="M16">
        <f t="shared" si="1"/>
        <v>0.57333259698825789</v>
      </c>
      <c r="N16">
        <f t="shared" si="2"/>
        <v>0.38628141891637197</v>
      </c>
    </row>
    <row r="17" spans="1:14" x14ac:dyDescent="0.2">
      <c r="A17">
        <v>2232</v>
      </c>
      <c r="B17">
        <v>56.961500000000001</v>
      </c>
      <c r="C17">
        <v>294.952</v>
      </c>
      <c r="D17">
        <v>7570.57</v>
      </c>
      <c r="E17">
        <v>63.013599999999997</v>
      </c>
      <c r="F17">
        <v>27.451799999999999</v>
      </c>
      <c r="G17">
        <v>5110.8599999999997</v>
      </c>
      <c r="H17">
        <v>38.976500000000001</v>
      </c>
      <c r="L17">
        <f t="shared" si="0"/>
        <v>13162.785400000001</v>
      </c>
      <c r="M17">
        <f t="shared" si="1"/>
        <v>0.57514954243651195</v>
      </c>
      <c r="N17">
        <f t="shared" si="2"/>
        <v>0.38828103966505445</v>
      </c>
    </row>
    <row r="18" spans="1:14" x14ac:dyDescent="0.2">
      <c r="A18">
        <v>2354</v>
      </c>
      <c r="B18">
        <v>65.838999999999999</v>
      </c>
      <c r="C18">
        <v>289.625</v>
      </c>
      <c r="D18">
        <v>7526.81</v>
      </c>
      <c r="E18">
        <v>94.558000000000007</v>
      </c>
      <c r="F18">
        <v>41.030299999999997</v>
      </c>
      <c r="G18">
        <v>5089.43</v>
      </c>
      <c r="H18">
        <v>44.751899999999999</v>
      </c>
      <c r="L18">
        <f t="shared" si="0"/>
        <v>13152.0442</v>
      </c>
      <c r="M18">
        <f t="shared" si="1"/>
        <v>0.57229202438355553</v>
      </c>
      <c r="N18">
        <f t="shared" si="2"/>
        <v>0.38696874209105836</v>
      </c>
    </row>
    <row r="19" spans="1:14" x14ac:dyDescent="0.2">
      <c r="A19">
        <v>2476</v>
      </c>
      <c r="B19">
        <v>62.150700000000001</v>
      </c>
      <c r="C19">
        <v>302.28100000000001</v>
      </c>
      <c r="D19">
        <v>7567.79</v>
      </c>
      <c r="E19">
        <v>66.999200000000002</v>
      </c>
      <c r="F19">
        <v>45.612000000000002</v>
      </c>
      <c r="G19">
        <v>5082.8999999999996</v>
      </c>
      <c r="H19">
        <v>39.395600000000002</v>
      </c>
      <c r="L19">
        <f t="shared" si="0"/>
        <v>13167.128499999999</v>
      </c>
      <c r="M19">
        <f t="shared" si="1"/>
        <v>0.57474870090316199</v>
      </c>
      <c r="N19">
        <f t="shared" si="2"/>
        <v>0.38602949762357069</v>
      </c>
    </row>
    <row r="20" spans="1:14" x14ac:dyDescent="0.2">
      <c r="A20">
        <v>2598</v>
      </c>
      <c r="B20">
        <v>63.816600000000001</v>
      </c>
      <c r="C20">
        <v>298.541</v>
      </c>
      <c r="D20">
        <v>7497.25</v>
      </c>
      <c r="E20">
        <v>50.840400000000002</v>
      </c>
      <c r="F20">
        <v>37.033299999999997</v>
      </c>
      <c r="G20">
        <v>5072.1400000000003</v>
      </c>
      <c r="H20">
        <v>46.8551</v>
      </c>
      <c r="L20">
        <f t="shared" si="0"/>
        <v>13066.476400000001</v>
      </c>
      <c r="M20">
        <f t="shared" si="1"/>
        <v>0.57377748755586466</v>
      </c>
      <c r="N20">
        <f t="shared" si="2"/>
        <v>0.38817963196260008</v>
      </c>
    </row>
    <row r="21" spans="1:14" x14ac:dyDescent="0.2">
      <c r="A21">
        <v>2720</v>
      </c>
      <c r="B21">
        <v>65.441999999999993</v>
      </c>
      <c r="C21">
        <v>305.17099999999999</v>
      </c>
      <c r="D21">
        <v>7491.91</v>
      </c>
      <c r="E21">
        <v>72.650999999999996</v>
      </c>
      <c r="F21">
        <v>46.7395</v>
      </c>
      <c r="G21">
        <v>5047.2299999999996</v>
      </c>
      <c r="H21">
        <v>38.777999999999999</v>
      </c>
      <c r="L21">
        <f t="shared" si="0"/>
        <v>13067.921499999999</v>
      </c>
      <c r="M21">
        <f t="shared" si="1"/>
        <v>0.57330540285232057</v>
      </c>
      <c r="N21">
        <f t="shared" si="2"/>
        <v>0.38623051110308554</v>
      </c>
    </row>
    <row r="22" spans="1:14" x14ac:dyDescent="0.2">
      <c r="A22">
        <v>2842</v>
      </c>
      <c r="B22">
        <v>60.804200000000002</v>
      </c>
      <c r="C22">
        <v>289.16300000000001</v>
      </c>
      <c r="D22">
        <v>7529.29</v>
      </c>
      <c r="E22">
        <v>85.331699999999998</v>
      </c>
      <c r="F22">
        <v>46.283700000000003</v>
      </c>
      <c r="G22">
        <v>5086.51</v>
      </c>
      <c r="H22">
        <v>44.466299999999997</v>
      </c>
      <c r="L22">
        <f t="shared" si="0"/>
        <v>13141.848900000001</v>
      </c>
      <c r="M22">
        <f t="shared" si="1"/>
        <v>0.5729247122906731</v>
      </c>
      <c r="N22">
        <f t="shared" si="2"/>
        <v>0.3870467571728054</v>
      </c>
    </row>
    <row r="23" spans="1:14" x14ac:dyDescent="0.2">
      <c r="A23">
        <v>2963</v>
      </c>
      <c r="B23">
        <v>69.876999999999995</v>
      </c>
      <c r="C23">
        <v>303.13499999999999</v>
      </c>
      <c r="D23">
        <v>7500.8</v>
      </c>
      <c r="E23">
        <v>72.895399999999995</v>
      </c>
      <c r="F23">
        <v>50.052900000000001</v>
      </c>
      <c r="G23">
        <v>5084.24</v>
      </c>
      <c r="H23">
        <v>49.991399999999999</v>
      </c>
      <c r="L23">
        <f t="shared" si="0"/>
        <v>13130.9917</v>
      </c>
      <c r="M23">
        <f t="shared" si="1"/>
        <v>0.57122875189998024</v>
      </c>
      <c r="N23">
        <f t="shared" si="2"/>
        <v>0.38719390859107766</v>
      </c>
    </row>
    <row r="25" spans="1:14" x14ac:dyDescent="0.2">
      <c r="A25" t="s">
        <v>0</v>
      </c>
      <c r="B25" t="s">
        <v>65</v>
      </c>
      <c r="C25" t="s">
        <v>66</v>
      </c>
      <c r="D25" t="s">
        <v>67</v>
      </c>
      <c r="E25" t="s">
        <v>68</v>
      </c>
      <c r="M25" t="s">
        <v>96</v>
      </c>
    </row>
    <row r="26" spans="1:14" x14ac:dyDescent="0.2">
      <c r="A26">
        <v>404</v>
      </c>
      <c r="B26">
        <v>97.602599999999995</v>
      </c>
      <c r="C26">
        <v>7686.02</v>
      </c>
      <c r="D26">
        <v>23.165199999999999</v>
      </c>
      <c r="E26">
        <v>13.5015</v>
      </c>
      <c r="L26">
        <f t="shared" si="0"/>
        <v>7820.2893000000013</v>
      </c>
      <c r="M26">
        <f>C26/L26</f>
        <v>0.98283064796592612</v>
      </c>
    </row>
    <row r="27" spans="1:14" x14ac:dyDescent="0.2">
      <c r="A27">
        <v>526</v>
      </c>
      <c r="B27">
        <v>82.042299999999997</v>
      </c>
      <c r="C27">
        <v>7457.17</v>
      </c>
      <c r="D27">
        <v>15.465999999999999</v>
      </c>
      <c r="E27">
        <v>2.2285200000000001</v>
      </c>
      <c r="L27">
        <f t="shared" si="0"/>
        <v>7556.9068200000002</v>
      </c>
      <c r="M27">
        <f t="shared" ref="M27:M47" si="3">C27/L27</f>
        <v>0.98680189892827075</v>
      </c>
    </row>
    <row r="28" spans="1:14" x14ac:dyDescent="0.2">
      <c r="A28">
        <v>648</v>
      </c>
      <c r="B28">
        <v>215.61799999999999</v>
      </c>
      <c r="C28">
        <v>7477.1</v>
      </c>
      <c r="D28">
        <v>19.091899999999999</v>
      </c>
      <c r="E28">
        <v>5.5384500000000001</v>
      </c>
      <c r="L28">
        <f t="shared" si="0"/>
        <v>7717.3483500000011</v>
      </c>
      <c r="M28">
        <f t="shared" si="3"/>
        <v>0.96886905461511263</v>
      </c>
    </row>
    <row r="29" spans="1:14" x14ac:dyDescent="0.2">
      <c r="A29">
        <v>770</v>
      </c>
      <c r="B29">
        <v>256.858</v>
      </c>
      <c r="C29">
        <v>7512.34</v>
      </c>
      <c r="D29">
        <v>21.510200000000001</v>
      </c>
      <c r="E29">
        <v>15.4268</v>
      </c>
      <c r="L29">
        <f t="shared" si="0"/>
        <v>7806.1350000000002</v>
      </c>
      <c r="M29">
        <f t="shared" si="3"/>
        <v>0.96236357685333396</v>
      </c>
    </row>
    <row r="30" spans="1:14" x14ac:dyDescent="0.2">
      <c r="A30">
        <v>892</v>
      </c>
      <c r="B30">
        <v>240.22399999999999</v>
      </c>
      <c r="C30">
        <v>7452.86</v>
      </c>
      <c r="D30">
        <v>23.906199999999998</v>
      </c>
      <c r="E30">
        <v>19.721499999999999</v>
      </c>
      <c r="L30">
        <f t="shared" si="0"/>
        <v>7736.7116999999998</v>
      </c>
      <c r="M30">
        <f t="shared" si="3"/>
        <v>0.96331106663829802</v>
      </c>
    </row>
    <row r="31" spans="1:14" x14ac:dyDescent="0.2">
      <c r="A31">
        <v>1014</v>
      </c>
      <c r="B31">
        <v>254.22399999999999</v>
      </c>
      <c r="C31">
        <v>7464.35</v>
      </c>
      <c r="D31">
        <v>20.017199999999999</v>
      </c>
      <c r="E31">
        <v>5.2509699999999997</v>
      </c>
      <c r="L31">
        <f t="shared" si="0"/>
        <v>7743.8421700000008</v>
      </c>
      <c r="M31">
        <f t="shared" si="3"/>
        <v>0.96390781683506332</v>
      </c>
    </row>
    <row r="32" spans="1:14" x14ac:dyDescent="0.2">
      <c r="A32">
        <v>1136</v>
      </c>
      <c r="B32">
        <v>266.13799999999998</v>
      </c>
      <c r="C32">
        <v>7441.83</v>
      </c>
      <c r="D32">
        <v>4.8641699999999997</v>
      </c>
      <c r="E32">
        <v>13.863099999999999</v>
      </c>
      <c r="L32">
        <f t="shared" si="0"/>
        <v>7726.6952699999993</v>
      </c>
      <c r="M32">
        <f t="shared" si="3"/>
        <v>0.96313232759339829</v>
      </c>
    </row>
    <row r="33" spans="1:13" x14ac:dyDescent="0.2">
      <c r="A33">
        <v>1257</v>
      </c>
      <c r="B33">
        <v>288.98200000000003</v>
      </c>
      <c r="C33">
        <v>7513.61</v>
      </c>
      <c r="D33">
        <v>14.8971</v>
      </c>
      <c r="E33">
        <v>25.116399999999999</v>
      </c>
      <c r="L33">
        <f t="shared" si="0"/>
        <v>7842.6054999999997</v>
      </c>
      <c r="M33">
        <f t="shared" si="3"/>
        <v>0.95805022960800468</v>
      </c>
    </row>
    <row r="34" spans="1:13" x14ac:dyDescent="0.2">
      <c r="A34">
        <v>1379</v>
      </c>
      <c r="B34">
        <v>333.11599999999999</v>
      </c>
      <c r="C34">
        <v>7534.82</v>
      </c>
      <c r="D34">
        <v>15.073399999999999</v>
      </c>
      <c r="E34">
        <v>19.711200000000002</v>
      </c>
      <c r="L34">
        <f t="shared" si="0"/>
        <v>7902.7205999999996</v>
      </c>
      <c r="M34">
        <f t="shared" si="3"/>
        <v>0.95344633593651285</v>
      </c>
    </row>
    <row r="35" spans="1:13" x14ac:dyDescent="0.2">
      <c r="A35">
        <v>1501</v>
      </c>
      <c r="B35">
        <v>315.87299999999999</v>
      </c>
      <c r="C35">
        <v>7510.04</v>
      </c>
      <c r="D35">
        <v>26.730499999999999</v>
      </c>
      <c r="E35">
        <v>39.125</v>
      </c>
      <c r="L35">
        <f t="shared" si="0"/>
        <v>7891.7684999999992</v>
      </c>
      <c r="M35">
        <f t="shared" si="3"/>
        <v>0.9516295365227706</v>
      </c>
    </row>
    <row r="36" spans="1:13" x14ac:dyDescent="0.2">
      <c r="A36">
        <v>1623</v>
      </c>
      <c r="B36">
        <v>323.16500000000002</v>
      </c>
      <c r="C36">
        <v>7483.98</v>
      </c>
      <c r="D36">
        <v>8.7858099999999997</v>
      </c>
      <c r="E36">
        <v>27.9438</v>
      </c>
      <c r="L36">
        <f t="shared" si="0"/>
        <v>7843.8746099999998</v>
      </c>
      <c r="M36">
        <f t="shared" si="3"/>
        <v>0.95411775074257588</v>
      </c>
    </row>
    <row r="37" spans="1:13" x14ac:dyDescent="0.2">
      <c r="A37">
        <v>1745</v>
      </c>
      <c r="B37">
        <v>328.56099999999998</v>
      </c>
      <c r="C37">
        <v>7464.33</v>
      </c>
      <c r="D37">
        <v>18.4192</v>
      </c>
      <c r="E37">
        <v>12.3291</v>
      </c>
      <c r="L37">
        <f t="shared" si="0"/>
        <v>7823.6392999999998</v>
      </c>
      <c r="M37">
        <f t="shared" si="3"/>
        <v>0.95407389244031227</v>
      </c>
    </row>
    <row r="38" spans="1:13" x14ac:dyDescent="0.2">
      <c r="A38">
        <v>1867</v>
      </c>
      <c r="B38">
        <v>341.58100000000002</v>
      </c>
      <c r="C38">
        <v>7495.9</v>
      </c>
      <c r="D38">
        <v>14.5418</v>
      </c>
      <c r="E38">
        <v>55.457099999999997</v>
      </c>
      <c r="L38">
        <f t="shared" si="0"/>
        <v>7907.4798999999994</v>
      </c>
      <c r="M38">
        <f t="shared" si="3"/>
        <v>0.94795056007666867</v>
      </c>
    </row>
    <row r="39" spans="1:13" x14ac:dyDescent="0.2">
      <c r="A39">
        <v>1989</v>
      </c>
      <c r="B39">
        <v>342.30099999999999</v>
      </c>
      <c r="C39">
        <v>7483.52</v>
      </c>
      <c r="D39">
        <v>27.704000000000001</v>
      </c>
      <c r="E39">
        <v>33.768799999999999</v>
      </c>
      <c r="L39">
        <f t="shared" si="0"/>
        <v>7887.2938000000004</v>
      </c>
      <c r="M39">
        <f t="shared" si="3"/>
        <v>0.94880705470867588</v>
      </c>
    </row>
    <row r="40" spans="1:13" x14ac:dyDescent="0.2">
      <c r="A40">
        <v>2110</v>
      </c>
      <c r="B40">
        <v>326.04199999999997</v>
      </c>
      <c r="C40">
        <v>7439.04</v>
      </c>
      <c r="D40">
        <v>34.806800000000003</v>
      </c>
      <c r="E40">
        <v>33.459899999999998</v>
      </c>
      <c r="L40">
        <f t="shared" si="0"/>
        <v>7833.3487000000005</v>
      </c>
      <c r="M40">
        <f t="shared" si="3"/>
        <v>0.94966281789549334</v>
      </c>
    </row>
    <row r="41" spans="1:13" x14ac:dyDescent="0.2">
      <c r="A41">
        <v>2232</v>
      </c>
      <c r="B41">
        <v>370.06200000000001</v>
      </c>
      <c r="C41">
        <v>7487.26</v>
      </c>
      <c r="D41">
        <v>35.134</v>
      </c>
      <c r="E41">
        <v>13.386200000000001</v>
      </c>
      <c r="L41">
        <f t="shared" si="0"/>
        <v>7905.8422</v>
      </c>
      <c r="M41">
        <f t="shared" si="3"/>
        <v>0.94705406591596275</v>
      </c>
    </row>
    <row r="42" spans="1:13" x14ac:dyDescent="0.2">
      <c r="A42">
        <v>2354</v>
      </c>
      <c r="B42">
        <v>364.50599999999997</v>
      </c>
      <c r="C42">
        <v>7441.92</v>
      </c>
      <c r="D42">
        <v>14.8764</v>
      </c>
      <c r="E42">
        <v>55.849400000000003</v>
      </c>
      <c r="L42">
        <f t="shared" si="0"/>
        <v>7877.1518000000005</v>
      </c>
      <c r="M42">
        <f t="shared" si="3"/>
        <v>0.94474756726155762</v>
      </c>
    </row>
    <row r="43" spans="1:13" x14ac:dyDescent="0.2">
      <c r="A43">
        <v>2476</v>
      </c>
      <c r="B43">
        <v>348.2</v>
      </c>
      <c r="C43">
        <v>7466.13</v>
      </c>
      <c r="D43">
        <v>6.6584399999999997</v>
      </c>
      <c r="E43">
        <v>37.086399999999998</v>
      </c>
      <c r="L43">
        <f t="shared" si="0"/>
        <v>7858.0748400000002</v>
      </c>
      <c r="M43">
        <f t="shared" si="3"/>
        <v>0.95012202759830167</v>
      </c>
    </row>
    <row r="44" spans="1:13" x14ac:dyDescent="0.2">
      <c r="A44">
        <v>2598</v>
      </c>
      <c r="B44">
        <v>326.589</v>
      </c>
      <c r="C44">
        <v>7423.55</v>
      </c>
      <c r="D44">
        <v>12.0207</v>
      </c>
      <c r="E44">
        <v>46.383400000000002</v>
      </c>
      <c r="L44">
        <f t="shared" si="0"/>
        <v>7808.5430999999999</v>
      </c>
      <c r="M44">
        <f t="shared" si="3"/>
        <v>0.95069591150748722</v>
      </c>
    </row>
    <row r="45" spans="1:13" x14ac:dyDescent="0.2">
      <c r="A45">
        <v>2720</v>
      </c>
      <c r="B45">
        <v>336.18299999999999</v>
      </c>
      <c r="C45">
        <v>7411.07</v>
      </c>
      <c r="D45">
        <v>39.277000000000001</v>
      </c>
      <c r="E45">
        <v>15.3909</v>
      </c>
      <c r="L45">
        <f t="shared" si="0"/>
        <v>7801.9209000000001</v>
      </c>
      <c r="M45">
        <f t="shared" si="3"/>
        <v>0.94990324754510136</v>
      </c>
    </row>
    <row r="46" spans="1:13" x14ac:dyDescent="0.2">
      <c r="A46">
        <v>2842</v>
      </c>
      <c r="B46">
        <v>378.24200000000002</v>
      </c>
      <c r="C46">
        <v>7469.61</v>
      </c>
      <c r="D46">
        <v>36.206899999999997</v>
      </c>
      <c r="E46">
        <v>37.741500000000002</v>
      </c>
      <c r="L46">
        <f t="shared" si="0"/>
        <v>7921.8004000000001</v>
      </c>
      <c r="M46">
        <f t="shared" si="3"/>
        <v>0.94291822853804796</v>
      </c>
    </row>
    <row r="47" spans="1:13" x14ac:dyDescent="0.2">
      <c r="A47">
        <v>2963</v>
      </c>
      <c r="B47">
        <v>352.298</v>
      </c>
      <c r="C47">
        <v>7434.92</v>
      </c>
      <c r="D47">
        <v>31.6724</v>
      </c>
      <c r="E47">
        <v>25.3186</v>
      </c>
      <c r="L47">
        <f t="shared" si="0"/>
        <v>7844.2089999999998</v>
      </c>
      <c r="M47">
        <f t="shared" si="3"/>
        <v>0.94782278238634388</v>
      </c>
    </row>
    <row r="49" spans="1:12" x14ac:dyDescent="0.2">
      <c r="A49" t="s">
        <v>0</v>
      </c>
      <c r="B49" t="s">
        <v>57</v>
      </c>
    </row>
    <row r="50" spans="1:12" x14ac:dyDescent="0.2">
      <c r="A50">
        <v>404</v>
      </c>
      <c r="B50">
        <v>45853</v>
      </c>
      <c r="L50">
        <f t="shared" si="0"/>
        <v>45853</v>
      </c>
    </row>
    <row r="51" spans="1:12" x14ac:dyDescent="0.2">
      <c r="A51">
        <v>526</v>
      </c>
      <c r="B51">
        <v>38815</v>
      </c>
      <c r="L51">
        <f t="shared" si="0"/>
        <v>38815</v>
      </c>
    </row>
    <row r="52" spans="1:12" x14ac:dyDescent="0.2">
      <c r="A52">
        <v>648</v>
      </c>
      <c r="B52">
        <v>32399.3</v>
      </c>
      <c r="L52">
        <f t="shared" si="0"/>
        <v>32399.3</v>
      </c>
    </row>
    <row r="53" spans="1:12" x14ac:dyDescent="0.2">
      <c r="A53">
        <v>770</v>
      </c>
      <c r="B53">
        <v>27704.7</v>
      </c>
      <c r="L53">
        <f t="shared" si="0"/>
        <v>27704.7</v>
      </c>
    </row>
    <row r="54" spans="1:12" x14ac:dyDescent="0.2">
      <c r="A54">
        <v>892</v>
      </c>
      <c r="B54">
        <v>23516.400000000001</v>
      </c>
      <c r="L54">
        <f t="shared" si="0"/>
        <v>23516.400000000001</v>
      </c>
    </row>
    <row r="55" spans="1:12" x14ac:dyDescent="0.2">
      <c r="A55">
        <v>1014</v>
      </c>
      <c r="B55">
        <v>19993.8</v>
      </c>
      <c r="L55">
        <f t="shared" si="0"/>
        <v>19993.8</v>
      </c>
    </row>
    <row r="56" spans="1:12" x14ac:dyDescent="0.2">
      <c r="A56">
        <v>1136</v>
      </c>
      <c r="B56">
        <v>16985.900000000001</v>
      </c>
      <c r="L56">
        <f t="shared" si="0"/>
        <v>16985.900000000001</v>
      </c>
    </row>
    <row r="57" spans="1:12" x14ac:dyDescent="0.2">
      <c r="A57">
        <v>1257</v>
      </c>
      <c r="B57">
        <v>14413.9</v>
      </c>
      <c r="L57">
        <f t="shared" si="0"/>
        <v>14413.9</v>
      </c>
    </row>
    <row r="58" spans="1:12" x14ac:dyDescent="0.2">
      <c r="A58">
        <v>1379</v>
      </c>
      <c r="B58">
        <v>11977.1</v>
      </c>
      <c r="L58">
        <f t="shared" si="0"/>
        <v>11977.1</v>
      </c>
    </row>
    <row r="59" spans="1:12" x14ac:dyDescent="0.2">
      <c r="A59">
        <v>1501</v>
      </c>
      <c r="B59">
        <v>10337.799999999999</v>
      </c>
      <c r="L59">
        <f t="shared" si="0"/>
        <v>10337.799999999999</v>
      </c>
    </row>
    <row r="60" spans="1:12" x14ac:dyDescent="0.2">
      <c r="A60">
        <v>1623</v>
      </c>
      <c r="B60">
        <v>8759.2999999999993</v>
      </c>
      <c r="L60">
        <f t="shared" si="0"/>
        <v>8759.2999999999993</v>
      </c>
    </row>
    <row r="61" spans="1:12" x14ac:dyDescent="0.2">
      <c r="A61">
        <v>1745</v>
      </c>
      <c r="B61">
        <v>7481.12</v>
      </c>
      <c r="L61">
        <f t="shared" si="0"/>
        <v>7481.12</v>
      </c>
    </row>
    <row r="62" spans="1:12" x14ac:dyDescent="0.2">
      <c r="A62">
        <v>1867</v>
      </c>
      <c r="B62">
        <v>6119.8</v>
      </c>
      <c r="L62">
        <f t="shared" si="0"/>
        <v>6119.8</v>
      </c>
    </row>
    <row r="63" spans="1:12" x14ac:dyDescent="0.2">
      <c r="A63">
        <v>1989</v>
      </c>
      <c r="B63">
        <v>5136.8900000000003</v>
      </c>
      <c r="L63">
        <f t="shared" si="0"/>
        <v>5136.8900000000003</v>
      </c>
    </row>
    <row r="64" spans="1:12" x14ac:dyDescent="0.2">
      <c r="A64">
        <v>2110</v>
      </c>
      <c r="B64">
        <v>4502.62</v>
      </c>
      <c r="L64">
        <f t="shared" si="0"/>
        <v>4502.62</v>
      </c>
    </row>
    <row r="65" spans="1:12" x14ac:dyDescent="0.2">
      <c r="A65">
        <v>2232</v>
      </c>
      <c r="B65">
        <v>3804.85</v>
      </c>
      <c r="L65">
        <f t="shared" si="0"/>
        <v>3804.85</v>
      </c>
    </row>
    <row r="66" spans="1:12" x14ac:dyDescent="0.2">
      <c r="A66">
        <v>2354</v>
      </c>
      <c r="B66">
        <v>3300.33</v>
      </c>
      <c r="L66">
        <f t="shared" si="0"/>
        <v>3300.33</v>
      </c>
    </row>
    <row r="67" spans="1:12" x14ac:dyDescent="0.2">
      <c r="A67">
        <v>2476</v>
      </c>
      <c r="B67">
        <v>2576.91</v>
      </c>
      <c r="L67">
        <f t="shared" ref="L67:L71" si="4">SUM(B67:J67)</f>
        <v>2576.91</v>
      </c>
    </row>
    <row r="68" spans="1:12" x14ac:dyDescent="0.2">
      <c r="A68">
        <v>2598</v>
      </c>
      <c r="B68">
        <v>2147.09</v>
      </c>
      <c r="L68">
        <f t="shared" si="4"/>
        <v>2147.09</v>
      </c>
    </row>
    <row r="69" spans="1:12" x14ac:dyDescent="0.2">
      <c r="A69">
        <v>2720</v>
      </c>
      <c r="B69">
        <v>1925.05</v>
      </c>
      <c r="L69">
        <f t="shared" si="4"/>
        <v>1925.05</v>
      </c>
    </row>
    <row r="70" spans="1:12" x14ac:dyDescent="0.2">
      <c r="A70">
        <v>2842</v>
      </c>
      <c r="B70">
        <v>1462.34</v>
      </c>
      <c r="L70">
        <f t="shared" si="4"/>
        <v>1462.34</v>
      </c>
    </row>
    <row r="71" spans="1:12" x14ac:dyDescent="0.2">
      <c r="A71">
        <v>2963</v>
      </c>
      <c r="B71">
        <v>1281.21</v>
      </c>
      <c r="L71">
        <f t="shared" si="4"/>
        <v>1281.21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DA24-199A-FA4A-A0A4-887600B2E385}">
  <dimension ref="A1:N65"/>
  <sheetViews>
    <sheetView workbookViewId="0">
      <selection activeCell="H1" sqref="H1"/>
    </sheetView>
  </sheetViews>
  <sheetFormatPr baseColWidth="10" defaultRowHeight="16" x14ac:dyDescent="0.2"/>
  <sheetData>
    <row r="1" spans="1:14" x14ac:dyDescent="0.2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L1" t="s">
        <v>93</v>
      </c>
      <c r="M1" t="s">
        <v>94</v>
      </c>
      <c r="N1" t="s">
        <v>95</v>
      </c>
    </row>
    <row r="2" spans="1:14" x14ac:dyDescent="0.2">
      <c r="A2">
        <v>288</v>
      </c>
      <c r="B2">
        <v>29.4404</v>
      </c>
      <c r="C2">
        <v>91.285499999999999</v>
      </c>
      <c r="D2">
        <v>4671.03</v>
      </c>
      <c r="E2">
        <v>18.384699999999999</v>
      </c>
      <c r="F2">
        <v>14.5921</v>
      </c>
      <c r="G2">
        <v>3.4998100000000001</v>
      </c>
      <c r="H2">
        <v>3118.05</v>
      </c>
      <c r="I2">
        <v>28.317900000000002</v>
      </c>
      <c r="L2">
        <f>SUM(B2:J2)</f>
        <v>7974.60041</v>
      </c>
      <c r="M2">
        <f>D2/L2</f>
        <v>0.58573843952640126</v>
      </c>
      <c r="N2">
        <f>H2/L2</f>
        <v>0.39099764749215821</v>
      </c>
    </row>
    <row r="3" spans="1:14" x14ac:dyDescent="0.2">
      <c r="A3">
        <v>380</v>
      </c>
      <c r="B3">
        <v>34.549799999999998</v>
      </c>
      <c r="C3">
        <v>93.394800000000004</v>
      </c>
      <c r="D3">
        <v>4638.38</v>
      </c>
      <c r="E3">
        <v>30.3795</v>
      </c>
      <c r="F3">
        <v>12.0482</v>
      </c>
      <c r="G3">
        <v>7.9028299999999998</v>
      </c>
      <c r="H3">
        <v>3144.6</v>
      </c>
      <c r="I3">
        <v>33.931800000000003</v>
      </c>
      <c r="L3">
        <f t="shared" ref="L3:L65" si="0">SUM(B3:J3)</f>
        <v>7995.1869299999998</v>
      </c>
      <c r="M3">
        <f t="shared" ref="M3:M21" si="1">D3/L3</f>
        <v>0.58014653573584429</v>
      </c>
      <c r="N3">
        <f t="shared" ref="N3:N21" si="2">H3/L3</f>
        <v>0.39331162955060511</v>
      </c>
    </row>
    <row r="4" spans="1:14" x14ac:dyDescent="0.2">
      <c r="A4">
        <v>472</v>
      </c>
      <c r="B4">
        <v>47.4495</v>
      </c>
      <c r="C4">
        <v>129.16200000000001</v>
      </c>
      <c r="D4">
        <v>4618.5200000000004</v>
      </c>
      <c r="E4">
        <v>31.544499999999999</v>
      </c>
      <c r="F4">
        <v>26.769200000000001</v>
      </c>
      <c r="G4">
        <v>19.5246</v>
      </c>
      <c r="H4">
        <v>3103.61</v>
      </c>
      <c r="I4">
        <v>24.545000000000002</v>
      </c>
      <c r="L4">
        <f t="shared" si="0"/>
        <v>8001.1247999999996</v>
      </c>
      <c r="M4">
        <f t="shared" si="1"/>
        <v>0.5772338409219665</v>
      </c>
      <c r="N4">
        <f t="shared" si="2"/>
        <v>0.38789671172233187</v>
      </c>
    </row>
    <row r="5" spans="1:14" x14ac:dyDescent="0.2">
      <c r="A5">
        <v>564</v>
      </c>
      <c r="B5">
        <v>43.839700000000001</v>
      </c>
      <c r="C5">
        <v>121.535</v>
      </c>
      <c r="D5">
        <v>4637.05</v>
      </c>
      <c r="E5">
        <v>33.8538</v>
      </c>
      <c r="F5">
        <v>18.4528</v>
      </c>
      <c r="G5">
        <v>13.365</v>
      </c>
      <c r="H5">
        <v>3088.37</v>
      </c>
      <c r="I5">
        <v>30.469100000000001</v>
      </c>
      <c r="L5">
        <f t="shared" si="0"/>
        <v>7986.9354000000003</v>
      </c>
      <c r="M5">
        <f t="shared" si="1"/>
        <v>0.58057937967045536</v>
      </c>
      <c r="N5">
        <f t="shared" si="2"/>
        <v>0.38667772372366999</v>
      </c>
    </row>
    <row r="6" spans="1:14" x14ac:dyDescent="0.2">
      <c r="A6">
        <v>656</v>
      </c>
      <c r="B6">
        <v>36.466200000000001</v>
      </c>
      <c r="C6">
        <v>130.834</v>
      </c>
      <c r="D6">
        <v>4624.78</v>
      </c>
      <c r="E6">
        <v>42.328000000000003</v>
      </c>
      <c r="F6">
        <v>16.668700000000001</v>
      </c>
      <c r="G6">
        <v>14.6173</v>
      </c>
      <c r="H6">
        <v>3041.85</v>
      </c>
      <c r="I6">
        <v>31.089500000000001</v>
      </c>
      <c r="L6">
        <f t="shared" si="0"/>
        <v>7938.6337000000003</v>
      </c>
      <c r="M6">
        <f t="shared" si="1"/>
        <v>0.58256624184587324</v>
      </c>
      <c r="N6">
        <f t="shared" si="2"/>
        <v>0.38317046924586023</v>
      </c>
    </row>
    <row r="7" spans="1:14" x14ac:dyDescent="0.2">
      <c r="A7">
        <v>747</v>
      </c>
      <c r="B7">
        <v>40.240400000000001</v>
      </c>
      <c r="C7">
        <v>152.91399999999999</v>
      </c>
      <c r="D7">
        <v>4627.3100000000004</v>
      </c>
      <c r="E7">
        <v>47.332700000000003</v>
      </c>
      <c r="F7">
        <v>13.1469</v>
      </c>
      <c r="G7">
        <v>64.326999999999998</v>
      </c>
      <c r="H7">
        <v>3067.58</v>
      </c>
      <c r="I7">
        <v>21.138200000000001</v>
      </c>
      <c r="L7">
        <f t="shared" si="0"/>
        <v>8033.9892000000009</v>
      </c>
      <c r="M7">
        <f t="shared" si="1"/>
        <v>0.57596666921085726</v>
      </c>
      <c r="N7">
        <f t="shared" si="2"/>
        <v>0.38182525811710072</v>
      </c>
    </row>
    <row r="8" spans="1:14" x14ac:dyDescent="0.2">
      <c r="A8">
        <v>839</v>
      </c>
      <c r="B8">
        <v>42.197699999999998</v>
      </c>
      <c r="C8">
        <v>161.654</v>
      </c>
      <c r="D8">
        <v>4653.62</v>
      </c>
      <c r="E8">
        <v>42.2303</v>
      </c>
      <c r="F8">
        <v>16.2042</v>
      </c>
      <c r="G8">
        <v>19.1677</v>
      </c>
      <c r="H8">
        <v>3055.11</v>
      </c>
      <c r="I8">
        <v>8.6911299999999994</v>
      </c>
      <c r="L8">
        <f t="shared" si="0"/>
        <v>7998.8750300000002</v>
      </c>
      <c r="M8">
        <f t="shared" si="1"/>
        <v>0.58178431123707652</v>
      </c>
      <c r="N8">
        <f t="shared" si="2"/>
        <v>0.38194245922604447</v>
      </c>
    </row>
    <row r="9" spans="1:14" x14ac:dyDescent="0.2">
      <c r="A9">
        <v>931</v>
      </c>
      <c r="B9">
        <v>46.383000000000003</v>
      </c>
      <c r="C9">
        <v>166.9</v>
      </c>
      <c r="D9">
        <v>4610.8500000000004</v>
      </c>
      <c r="E9">
        <v>43.859200000000001</v>
      </c>
      <c r="F9">
        <v>24.682600000000001</v>
      </c>
      <c r="G9">
        <v>23.099299999999999</v>
      </c>
      <c r="H9">
        <v>3053.93</v>
      </c>
      <c r="I9">
        <v>22.6143</v>
      </c>
      <c r="L9">
        <f t="shared" si="0"/>
        <v>7992.318400000001</v>
      </c>
      <c r="M9">
        <f t="shared" si="1"/>
        <v>0.57691019917324615</v>
      </c>
      <c r="N9">
        <f t="shared" si="2"/>
        <v>0.38210815024586603</v>
      </c>
    </row>
    <row r="10" spans="1:14" x14ac:dyDescent="0.2">
      <c r="A10">
        <v>1023</v>
      </c>
      <c r="B10">
        <v>33.0441</v>
      </c>
      <c r="C10">
        <v>160.803</v>
      </c>
      <c r="D10">
        <v>4610.6899999999996</v>
      </c>
      <c r="E10">
        <v>27.102599999999999</v>
      </c>
      <c r="F10">
        <v>19.4788</v>
      </c>
      <c r="G10">
        <v>16.969000000000001</v>
      </c>
      <c r="H10">
        <v>3039.74</v>
      </c>
      <c r="I10">
        <v>26.583200000000001</v>
      </c>
      <c r="L10">
        <f t="shared" si="0"/>
        <v>7934.4106999999995</v>
      </c>
      <c r="M10">
        <f t="shared" si="1"/>
        <v>0.58110049685227405</v>
      </c>
      <c r="N10">
        <f t="shared" si="2"/>
        <v>0.38310847710467016</v>
      </c>
    </row>
    <row r="11" spans="1:14" x14ac:dyDescent="0.2">
      <c r="A11">
        <v>1115</v>
      </c>
      <c r="B11">
        <v>40.1389</v>
      </c>
      <c r="C11">
        <v>159.852</v>
      </c>
      <c r="D11">
        <v>4634.0200000000004</v>
      </c>
      <c r="E11">
        <v>43.081299999999999</v>
      </c>
      <c r="F11">
        <v>22.032900000000001</v>
      </c>
      <c r="G11">
        <v>30.798200000000001</v>
      </c>
      <c r="H11">
        <v>3035.45</v>
      </c>
      <c r="I11">
        <v>28.601600000000001</v>
      </c>
      <c r="L11">
        <f t="shared" si="0"/>
        <v>7993.9749000000002</v>
      </c>
      <c r="M11">
        <f t="shared" si="1"/>
        <v>0.57968908558869758</v>
      </c>
      <c r="N11">
        <f t="shared" si="2"/>
        <v>0.37971722928477042</v>
      </c>
    </row>
    <row r="12" spans="1:14" x14ac:dyDescent="0.2">
      <c r="A12">
        <v>1207</v>
      </c>
      <c r="B12">
        <v>41.893700000000003</v>
      </c>
      <c r="C12">
        <v>163.10400000000001</v>
      </c>
      <c r="D12">
        <v>4676.82</v>
      </c>
      <c r="E12">
        <v>43.466900000000003</v>
      </c>
      <c r="F12">
        <v>30.162700000000001</v>
      </c>
      <c r="G12">
        <v>25.279499999999999</v>
      </c>
      <c r="H12">
        <v>3023.67</v>
      </c>
      <c r="I12">
        <v>20.620100000000001</v>
      </c>
      <c r="L12">
        <f t="shared" si="0"/>
        <v>8025.0168999999996</v>
      </c>
      <c r="M12">
        <f t="shared" si="1"/>
        <v>0.58278008112356749</v>
      </c>
      <c r="N12">
        <f t="shared" si="2"/>
        <v>0.37678051494196857</v>
      </c>
    </row>
    <row r="13" spans="1:14" x14ac:dyDescent="0.2">
      <c r="A13">
        <v>1299</v>
      </c>
      <c r="B13">
        <v>36.132300000000001</v>
      </c>
      <c r="C13">
        <v>161.88900000000001</v>
      </c>
      <c r="D13">
        <v>4622.54</v>
      </c>
      <c r="E13">
        <v>40.9801</v>
      </c>
      <c r="F13">
        <v>30.303799999999999</v>
      </c>
      <c r="G13">
        <v>24.9999</v>
      </c>
      <c r="H13">
        <v>3040.42</v>
      </c>
      <c r="I13">
        <v>29.2653</v>
      </c>
      <c r="L13">
        <f t="shared" si="0"/>
        <v>7986.5303999999996</v>
      </c>
      <c r="M13">
        <f t="shared" si="1"/>
        <v>0.57879201211079101</v>
      </c>
      <c r="N13">
        <f t="shared" si="2"/>
        <v>0.38069347360150285</v>
      </c>
    </row>
    <row r="14" spans="1:14" x14ac:dyDescent="0.2">
      <c r="A14">
        <v>1390</v>
      </c>
      <c r="B14">
        <v>40.035299999999999</v>
      </c>
      <c r="C14">
        <v>170.01300000000001</v>
      </c>
      <c r="D14">
        <v>4617.95</v>
      </c>
      <c r="E14">
        <v>35.875399999999999</v>
      </c>
      <c r="F14">
        <v>30.552499999999998</v>
      </c>
      <c r="G14">
        <v>32.005400000000002</v>
      </c>
      <c r="H14">
        <v>3045.37</v>
      </c>
      <c r="I14">
        <v>18.8475</v>
      </c>
      <c r="L14">
        <f t="shared" si="0"/>
        <v>7990.6490999999996</v>
      </c>
      <c r="M14">
        <f t="shared" si="1"/>
        <v>0.57791925814887801</v>
      </c>
      <c r="N14">
        <f t="shared" si="2"/>
        <v>0.381116723045691</v>
      </c>
    </row>
    <row r="15" spans="1:14" x14ac:dyDescent="0.2">
      <c r="A15">
        <v>1482</v>
      </c>
      <c r="B15">
        <v>35.919199999999996</v>
      </c>
      <c r="C15">
        <v>175.63200000000001</v>
      </c>
      <c r="D15">
        <v>4639.28</v>
      </c>
      <c r="E15">
        <v>50.218899999999998</v>
      </c>
      <c r="F15">
        <v>24.904299999999999</v>
      </c>
      <c r="G15">
        <v>30.607099999999999</v>
      </c>
      <c r="H15">
        <v>3041.7</v>
      </c>
      <c r="I15">
        <v>10.4496</v>
      </c>
      <c r="L15">
        <f t="shared" si="0"/>
        <v>8008.7110999999995</v>
      </c>
      <c r="M15">
        <f t="shared" si="1"/>
        <v>0.57927923008734827</v>
      </c>
      <c r="N15">
        <f t="shared" si="2"/>
        <v>0.37979894167989153</v>
      </c>
    </row>
    <row r="16" spans="1:14" x14ac:dyDescent="0.2">
      <c r="A16">
        <v>1574</v>
      </c>
      <c r="B16">
        <v>35.452800000000003</v>
      </c>
      <c r="C16">
        <v>176.41300000000001</v>
      </c>
      <c r="D16">
        <v>4642.97</v>
      </c>
      <c r="E16">
        <v>38.4786</v>
      </c>
      <c r="F16">
        <v>29.8644</v>
      </c>
      <c r="G16">
        <v>34.972900000000003</v>
      </c>
      <c r="H16">
        <v>3025.52</v>
      </c>
      <c r="I16">
        <v>23.2197</v>
      </c>
      <c r="L16">
        <f t="shared" si="0"/>
        <v>8006.8914000000004</v>
      </c>
      <c r="M16">
        <f t="shared" si="1"/>
        <v>0.57987173399154635</v>
      </c>
      <c r="N16">
        <f t="shared" si="2"/>
        <v>0.37786449807474592</v>
      </c>
    </row>
    <row r="17" spans="1:14" x14ac:dyDescent="0.2">
      <c r="A17">
        <v>1666</v>
      </c>
      <c r="B17">
        <v>41.8521</v>
      </c>
      <c r="C17">
        <v>179.76599999999999</v>
      </c>
      <c r="D17">
        <v>4609.51</v>
      </c>
      <c r="E17">
        <v>37.839500000000001</v>
      </c>
      <c r="F17">
        <v>33.878900000000002</v>
      </c>
      <c r="G17">
        <v>61.787100000000002</v>
      </c>
      <c r="H17">
        <v>2990.79</v>
      </c>
      <c r="I17">
        <v>16.6753</v>
      </c>
      <c r="L17">
        <f t="shared" si="0"/>
        <v>7972.098899999999</v>
      </c>
      <c r="M17">
        <f t="shared" si="1"/>
        <v>0.57820532055868012</v>
      </c>
      <c r="N17">
        <f t="shared" si="2"/>
        <v>0.37515716218723782</v>
      </c>
    </row>
    <row r="18" spans="1:14" x14ac:dyDescent="0.2">
      <c r="A18">
        <v>1758</v>
      </c>
      <c r="B18">
        <v>42.325800000000001</v>
      </c>
      <c r="C18">
        <v>174.803</v>
      </c>
      <c r="D18">
        <v>4640.49</v>
      </c>
      <c r="E18">
        <v>49.250100000000003</v>
      </c>
      <c r="F18">
        <v>25.177399999999999</v>
      </c>
      <c r="G18">
        <v>32.3992</v>
      </c>
      <c r="H18">
        <v>2990.61</v>
      </c>
      <c r="I18">
        <v>24.0169</v>
      </c>
      <c r="L18">
        <f t="shared" si="0"/>
        <v>7979.0724</v>
      </c>
      <c r="M18">
        <f t="shared" si="1"/>
        <v>0.58158264111001168</v>
      </c>
      <c r="N18">
        <f t="shared" si="2"/>
        <v>0.37480672565397455</v>
      </c>
    </row>
    <row r="19" spans="1:14" x14ac:dyDescent="0.2">
      <c r="A19">
        <v>1850</v>
      </c>
      <c r="B19">
        <v>47.121200000000002</v>
      </c>
      <c r="C19">
        <v>173.209</v>
      </c>
      <c r="D19">
        <v>4610.1000000000004</v>
      </c>
      <c r="E19">
        <v>41.827300000000001</v>
      </c>
      <c r="F19">
        <v>33.375</v>
      </c>
      <c r="G19">
        <v>57.566600000000001</v>
      </c>
      <c r="H19">
        <v>3052.07</v>
      </c>
      <c r="I19">
        <v>32.986199999999997</v>
      </c>
      <c r="L19">
        <f t="shared" si="0"/>
        <v>8048.2553000000016</v>
      </c>
      <c r="M19">
        <f t="shared" si="1"/>
        <v>0.57280737602844178</v>
      </c>
      <c r="N19">
        <f t="shared" si="2"/>
        <v>0.37922132017854848</v>
      </c>
    </row>
    <row r="20" spans="1:14" x14ac:dyDescent="0.2">
      <c r="A20">
        <v>1941</v>
      </c>
      <c r="B20">
        <v>38.723199999999999</v>
      </c>
      <c r="C20">
        <v>166.49100000000001</v>
      </c>
      <c r="D20">
        <v>4647.7299999999996</v>
      </c>
      <c r="E20">
        <v>41.101300000000002</v>
      </c>
      <c r="F20">
        <v>22.0365</v>
      </c>
      <c r="G20">
        <v>15.4779</v>
      </c>
      <c r="H20">
        <v>3018.48</v>
      </c>
      <c r="I20">
        <v>22.736000000000001</v>
      </c>
      <c r="L20">
        <f t="shared" si="0"/>
        <v>7972.7758999999996</v>
      </c>
      <c r="M20">
        <f t="shared" si="1"/>
        <v>0.58295003626026909</v>
      </c>
      <c r="N20">
        <f t="shared" si="2"/>
        <v>0.37859837500261362</v>
      </c>
    </row>
    <row r="21" spans="1:14" x14ac:dyDescent="0.2">
      <c r="A21">
        <v>2033</v>
      </c>
      <c r="B21">
        <v>36.484999999999999</v>
      </c>
      <c r="C21">
        <v>180.09</v>
      </c>
      <c r="D21">
        <v>4628.84</v>
      </c>
      <c r="E21">
        <v>43.284100000000002</v>
      </c>
      <c r="F21">
        <v>25.15</v>
      </c>
      <c r="G21">
        <v>26.601199999999999</v>
      </c>
      <c r="H21">
        <v>3008.1</v>
      </c>
      <c r="I21">
        <v>17.378299999999999</v>
      </c>
      <c r="L21">
        <f t="shared" si="0"/>
        <v>7965.9285999999993</v>
      </c>
      <c r="M21">
        <f t="shared" si="1"/>
        <v>0.58107977518151499</v>
      </c>
      <c r="N21">
        <f t="shared" si="2"/>
        <v>0.37762075848884713</v>
      </c>
    </row>
    <row r="23" spans="1:14" x14ac:dyDescent="0.2">
      <c r="A23" t="s">
        <v>0</v>
      </c>
      <c r="B23" t="s">
        <v>78</v>
      </c>
      <c r="C23" t="s">
        <v>79</v>
      </c>
      <c r="M23" t="s">
        <v>96</v>
      </c>
    </row>
    <row r="24" spans="1:14" x14ac:dyDescent="0.2">
      <c r="A24">
        <v>288</v>
      </c>
      <c r="B24">
        <v>112.545</v>
      </c>
      <c r="C24">
        <v>4847.75</v>
      </c>
      <c r="L24">
        <f t="shared" si="0"/>
        <v>4960.2950000000001</v>
      </c>
      <c r="M24">
        <f>C24/L24</f>
        <v>0.97731082526341673</v>
      </c>
    </row>
    <row r="25" spans="1:14" x14ac:dyDescent="0.2">
      <c r="A25">
        <v>380</v>
      </c>
      <c r="B25">
        <v>130.756</v>
      </c>
      <c r="C25">
        <v>4832.88</v>
      </c>
      <c r="L25">
        <f t="shared" si="0"/>
        <v>4963.6360000000004</v>
      </c>
      <c r="M25">
        <f t="shared" ref="M25:M43" si="3">C25/L25</f>
        <v>0.97365721418734164</v>
      </c>
    </row>
    <row r="26" spans="1:14" x14ac:dyDescent="0.2">
      <c r="A26">
        <v>472</v>
      </c>
      <c r="B26">
        <v>142.55500000000001</v>
      </c>
      <c r="C26">
        <v>4786.21</v>
      </c>
      <c r="L26">
        <f t="shared" si="0"/>
        <v>4928.7650000000003</v>
      </c>
      <c r="M26">
        <f t="shared" si="3"/>
        <v>0.97107693306538245</v>
      </c>
    </row>
    <row r="27" spans="1:14" x14ac:dyDescent="0.2">
      <c r="A27">
        <v>564</v>
      </c>
      <c r="B27">
        <v>159.54300000000001</v>
      </c>
      <c r="C27">
        <v>4767.13</v>
      </c>
      <c r="L27">
        <f t="shared" si="0"/>
        <v>4926.6729999999998</v>
      </c>
      <c r="M27">
        <f t="shared" si="3"/>
        <v>0.96761648276636192</v>
      </c>
    </row>
    <row r="28" spans="1:14" x14ac:dyDescent="0.2">
      <c r="A28">
        <v>656</v>
      </c>
      <c r="B28">
        <v>179.94</v>
      </c>
      <c r="C28">
        <v>4738.2299999999996</v>
      </c>
      <c r="L28">
        <f t="shared" si="0"/>
        <v>4918.1699999999992</v>
      </c>
      <c r="M28">
        <f t="shared" si="3"/>
        <v>0.96341322077114055</v>
      </c>
    </row>
    <row r="29" spans="1:14" x14ac:dyDescent="0.2">
      <c r="A29">
        <v>747</v>
      </c>
      <c r="B29">
        <v>178.57</v>
      </c>
      <c r="C29">
        <v>4712.33</v>
      </c>
      <c r="L29">
        <f t="shared" si="0"/>
        <v>4890.8999999999996</v>
      </c>
      <c r="M29">
        <f t="shared" si="3"/>
        <v>0.9634893373407758</v>
      </c>
    </row>
    <row r="30" spans="1:14" x14ac:dyDescent="0.2">
      <c r="A30">
        <v>839</v>
      </c>
      <c r="B30">
        <v>185.095</v>
      </c>
      <c r="C30">
        <v>4755.91</v>
      </c>
      <c r="L30">
        <f t="shared" si="0"/>
        <v>4941.0050000000001</v>
      </c>
      <c r="M30">
        <f t="shared" si="3"/>
        <v>0.9625389976330726</v>
      </c>
    </row>
    <row r="31" spans="1:14" x14ac:dyDescent="0.2">
      <c r="A31">
        <v>931</v>
      </c>
      <c r="B31">
        <v>183.05600000000001</v>
      </c>
      <c r="C31">
        <v>4731.88</v>
      </c>
      <c r="L31">
        <f t="shared" si="0"/>
        <v>4914.9359999999997</v>
      </c>
      <c r="M31">
        <f t="shared" si="3"/>
        <v>0.96275516100311387</v>
      </c>
    </row>
    <row r="32" spans="1:14" x14ac:dyDescent="0.2">
      <c r="A32">
        <v>1023</v>
      </c>
      <c r="B32">
        <v>185.739</v>
      </c>
      <c r="C32">
        <v>4723.16</v>
      </c>
      <c r="L32">
        <f t="shared" si="0"/>
        <v>4908.8989999999994</v>
      </c>
      <c r="M32">
        <f t="shared" si="3"/>
        <v>0.96216279862347964</v>
      </c>
    </row>
    <row r="33" spans="1:13" x14ac:dyDescent="0.2">
      <c r="A33">
        <v>1115</v>
      </c>
      <c r="B33">
        <v>195.97900000000001</v>
      </c>
      <c r="C33">
        <v>4727.26</v>
      </c>
      <c r="L33">
        <f t="shared" si="0"/>
        <v>4923.2390000000005</v>
      </c>
      <c r="M33">
        <f t="shared" si="3"/>
        <v>0.9601930761435713</v>
      </c>
    </row>
    <row r="34" spans="1:13" x14ac:dyDescent="0.2">
      <c r="A34">
        <v>1207</v>
      </c>
      <c r="B34">
        <v>203.334</v>
      </c>
      <c r="C34">
        <v>4713.5</v>
      </c>
      <c r="L34">
        <f t="shared" si="0"/>
        <v>4916.8339999999998</v>
      </c>
      <c r="M34">
        <f t="shared" si="3"/>
        <v>0.95864533966369414</v>
      </c>
    </row>
    <row r="35" spans="1:13" x14ac:dyDescent="0.2">
      <c r="A35">
        <v>1299</v>
      </c>
      <c r="B35">
        <v>190.02199999999999</v>
      </c>
      <c r="C35">
        <v>4727.5600000000004</v>
      </c>
      <c r="L35">
        <f t="shared" si="0"/>
        <v>4917.5820000000003</v>
      </c>
      <c r="M35">
        <f t="shared" si="3"/>
        <v>0.9613586514673268</v>
      </c>
    </row>
    <row r="36" spans="1:13" x14ac:dyDescent="0.2">
      <c r="A36">
        <v>1390</v>
      </c>
      <c r="B36">
        <v>192.80699999999999</v>
      </c>
      <c r="C36">
        <v>4717.08</v>
      </c>
      <c r="L36">
        <f t="shared" si="0"/>
        <v>4909.8869999999997</v>
      </c>
      <c r="M36">
        <f t="shared" si="3"/>
        <v>0.96073086814421593</v>
      </c>
    </row>
    <row r="37" spans="1:13" x14ac:dyDescent="0.2">
      <c r="A37">
        <v>1482</v>
      </c>
      <c r="B37">
        <v>207.45099999999999</v>
      </c>
      <c r="C37">
        <v>4725.71</v>
      </c>
      <c r="L37">
        <f t="shared" si="0"/>
        <v>4933.1610000000001</v>
      </c>
      <c r="M37">
        <f t="shared" si="3"/>
        <v>0.95794765263083848</v>
      </c>
    </row>
    <row r="38" spans="1:13" x14ac:dyDescent="0.2">
      <c r="A38">
        <v>1574</v>
      </c>
      <c r="B38">
        <v>189.69</v>
      </c>
      <c r="C38">
        <v>4696.3900000000003</v>
      </c>
      <c r="L38">
        <f t="shared" si="0"/>
        <v>4886.08</v>
      </c>
      <c r="M38">
        <f t="shared" si="3"/>
        <v>0.96117746741764365</v>
      </c>
    </row>
    <row r="39" spans="1:13" x14ac:dyDescent="0.2">
      <c r="A39">
        <v>1666</v>
      </c>
      <c r="B39">
        <v>227.58600000000001</v>
      </c>
      <c r="C39">
        <v>4669.09</v>
      </c>
      <c r="L39">
        <f t="shared" si="0"/>
        <v>4896.6760000000004</v>
      </c>
      <c r="M39">
        <f t="shared" si="3"/>
        <v>0.95352234862996854</v>
      </c>
    </row>
    <row r="40" spans="1:13" x14ac:dyDescent="0.2">
      <c r="A40">
        <v>1758</v>
      </c>
      <c r="B40">
        <v>218.84200000000001</v>
      </c>
      <c r="C40">
        <v>4714.45</v>
      </c>
      <c r="L40">
        <f t="shared" si="0"/>
        <v>4933.2919999999995</v>
      </c>
      <c r="M40">
        <f t="shared" si="3"/>
        <v>0.95563976346828861</v>
      </c>
    </row>
    <row r="41" spans="1:13" x14ac:dyDescent="0.2">
      <c r="A41">
        <v>1850</v>
      </c>
      <c r="B41">
        <v>191.31700000000001</v>
      </c>
      <c r="C41">
        <v>4700.34</v>
      </c>
      <c r="L41">
        <f t="shared" si="0"/>
        <v>4891.6570000000002</v>
      </c>
      <c r="M41">
        <f t="shared" si="3"/>
        <v>0.96088912202961085</v>
      </c>
    </row>
    <row r="42" spans="1:13" x14ac:dyDescent="0.2">
      <c r="A42">
        <v>1941</v>
      </c>
      <c r="B42">
        <v>208.32</v>
      </c>
      <c r="C42">
        <v>4720.34</v>
      </c>
      <c r="L42">
        <f t="shared" si="0"/>
        <v>4928.66</v>
      </c>
      <c r="M42">
        <f t="shared" si="3"/>
        <v>0.95773293349510824</v>
      </c>
    </row>
    <row r="43" spans="1:13" x14ac:dyDescent="0.2">
      <c r="A43">
        <v>2033</v>
      </c>
      <c r="B43">
        <v>197.39599999999999</v>
      </c>
      <c r="C43">
        <v>4701.33</v>
      </c>
      <c r="L43">
        <f t="shared" si="0"/>
        <v>4898.7259999999997</v>
      </c>
      <c r="M43">
        <f t="shared" si="3"/>
        <v>0.95970462524337963</v>
      </c>
    </row>
    <row r="45" spans="1:13" x14ac:dyDescent="0.2">
      <c r="A45" t="s">
        <v>0</v>
      </c>
      <c r="B45" t="s">
        <v>69</v>
      </c>
    </row>
    <row r="46" spans="1:13" x14ac:dyDescent="0.2">
      <c r="A46">
        <v>288</v>
      </c>
      <c r="B46">
        <v>27167.9</v>
      </c>
      <c r="L46">
        <f t="shared" si="0"/>
        <v>27167.9</v>
      </c>
    </row>
    <row r="47" spans="1:13" x14ac:dyDescent="0.2">
      <c r="A47">
        <v>380</v>
      </c>
      <c r="B47">
        <v>21552.9</v>
      </c>
      <c r="L47">
        <f t="shared" si="0"/>
        <v>21552.9</v>
      </c>
    </row>
    <row r="48" spans="1:13" x14ac:dyDescent="0.2">
      <c r="A48">
        <v>472</v>
      </c>
      <c r="B48">
        <v>17242.7</v>
      </c>
      <c r="L48">
        <f t="shared" si="0"/>
        <v>17242.7</v>
      </c>
    </row>
    <row r="49" spans="1:12" x14ac:dyDescent="0.2">
      <c r="A49">
        <v>564</v>
      </c>
      <c r="B49">
        <v>13448.3</v>
      </c>
      <c r="L49">
        <f t="shared" si="0"/>
        <v>13448.3</v>
      </c>
    </row>
    <row r="50" spans="1:12" x14ac:dyDescent="0.2">
      <c r="A50">
        <v>656</v>
      </c>
      <c r="B50">
        <v>10735.5</v>
      </c>
      <c r="L50">
        <f t="shared" si="0"/>
        <v>10735.5</v>
      </c>
    </row>
    <row r="51" spans="1:12" x14ac:dyDescent="0.2">
      <c r="A51">
        <v>747</v>
      </c>
      <c r="B51">
        <v>8477</v>
      </c>
      <c r="L51">
        <f t="shared" si="0"/>
        <v>8477</v>
      </c>
    </row>
    <row r="52" spans="1:12" x14ac:dyDescent="0.2">
      <c r="A52">
        <v>839</v>
      </c>
      <c r="B52">
        <v>6771.56</v>
      </c>
      <c r="L52">
        <f t="shared" si="0"/>
        <v>6771.56</v>
      </c>
    </row>
    <row r="53" spans="1:12" x14ac:dyDescent="0.2">
      <c r="A53">
        <v>931</v>
      </c>
      <c r="B53">
        <v>5391.41</v>
      </c>
      <c r="L53">
        <f t="shared" si="0"/>
        <v>5391.41</v>
      </c>
    </row>
    <row r="54" spans="1:12" x14ac:dyDescent="0.2">
      <c r="A54">
        <v>1023</v>
      </c>
      <c r="B54">
        <v>4240.01</v>
      </c>
      <c r="L54">
        <f t="shared" si="0"/>
        <v>4240.01</v>
      </c>
    </row>
    <row r="55" spans="1:12" x14ac:dyDescent="0.2">
      <c r="A55">
        <v>1115</v>
      </c>
      <c r="B55">
        <v>3298.12</v>
      </c>
      <c r="L55">
        <f t="shared" si="0"/>
        <v>3298.12</v>
      </c>
    </row>
    <row r="56" spans="1:12" x14ac:dyDescent="0.2">
      <c r="A56">
        <v>1207</v>
      </c>
      <c r="B56">
        <v>2661.86</v>
      </c>
      <c r="L56">
        <f t="shared" si="0"/>
        <v>2661.86</v>
      </c>
    </row>
    <row r="57" spans="1:12" x14ac:dyDescent="0.2">
      <c r="A57">
        <v>1299</v>
      </c>
      <c r="B57">
        <v>2091.06</v>
      </c>
      <c r="L57">
        <f t="shared" si="0"/>
        <v>2091.06</v>
      </c>
    </row>
    <row r="58" spans="1:12" x14ac:dyDescent="0.2">
      <c r="A58">
        <v>1390</v>
      </c>
      <c r="B58">
        <v>1631.34</v>
      </c>
      <c r="L58">
        <f t="shared" si="0"/>
        <v>1631.34</v>
      </c>
    </row>
    <row r="59" spans="1:12" x14ac:dyDescent="0.2">
      <c r="A59">
        <v>1482</v>
      </c>
      <c r="B59">
        <v>1259.74</v>
      </c>
      <c r="L59">
        <f t="shared" si="0"/>
        <v>1259.74</v>
      </c>
    </row>
    <row r="60" spans="1:12" x14ac:dyDescent="0.2">
      <c r="A60">
        <v>1574</v>
      </c>
      <c r="B60">
        <v>956.91300000000001</v>
      </c>
      <c r="L60">
        <f t="shared" si="0"/>
        <v>956.91300000000001</v>
      </c>
    </row>
    <row r="61" spans="1:12" x14ac:dyDescent="0.2">
      <c r="A61">
        <v>1666</v>
      </c>
      <c r="B61">
        <v>794.726</v>
      </c>
      <c r="L61">
        <f t="shared" si="0"/>
        <v>794.726</v>
      </c>
    </row>
    <row r="62" spans="1:12" x14ac:dyDescent="0.2">
      <c r="A62">
        <v>1758</v>
      </c>
      <c r="B62">
        <v>569.49300000000005</v>
      </c>
      <c r="L62">
        <f t="shared" si="0"/>
        <v>569.49300000000005</v>
      </c>
    </row>
    <row r="63" spans="1:12" x14ac:dyDescent="0.2">
      <c r="A63">
        <v>1850</v>
      </c>
      <c r="B63">
        <v>518.57500000000005</v>
      </c>
      <c r="L63">
        <f t="shared" si="0"/>
        <v>518.57500000000005</v>
      </c>
    </row>
    <row r="64" spans="1:12" x14ac:dyDescent="0.2">
      <c r="A64">
        <v>1941</v>
      </c>
      <c r="B64">
        <v>450.26900000000001</v>
      </c>
      <c r="L64">
        <f t="shared" si="0"/>
        <v>450.26900000000001</v>
      </c>
    </row>
    <row r="65" spans="1:12" x14ac:dyDescent="0.2">
      <c r="A65">
        <v>2033</v>
      </c>
      <c r="B65">
        <v>327.09399999999999</v>
      </c>
      <c r="L65">
        <f t="shared" si="0"/>
        <v>327.09399999999999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8F37-B903-6B40-99F4-8FDA57FC6C4D}">
  <dimension ref="A1:N65"/>
  <sheetViews>
    <sheetView tabSelected="1" zoomScale="75" workbookViewId="0">
      <selection activeCell="J8" sqref="J8"/>
    </sheetView>
  </sheetViews>
  <sheetFormatPr baseColWidth="10" defaultRowHeight="16" x14ac:dyDescent="0.2"/>
  <sheetData>
    <row r="1" spans="1:14" x14ac:dyDescent="0.2">
      <c r="A1" t="s">
        <v>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L1" t="s">
        <v>93</v>
      </c>
      <c r="M1" t="s">
        <v>94</v>
      </c>
      <c r="N1" t="s">
        <v>95</v>
      </c>
    </row>
    <row r="2" spans="1:14" x14ac:dyDescent="0.2">
      <c r="A2">
        <v>365</v>
      </c>
      <c r="B2">
        <v>8.1450899999999997</v>
      </c>
      <c r="C2">
        <v>40.509399999999999</v>
      </c>
      <c r="D2">
        <v>101.232</v>
      </c>
      <c r="E2">
        <v>4695.78</v>
      </c>
      <c r="F2">
        <v>40.026800000000001</v>
      </c>
      <c r="G2">
        <v>30.283300000000001</v>
      </c>
      <c r="H2">
        <v>3080.91</v>
      </c>
      <c r="I2">
        <v>25.694600000000001</v>
      </c>
      <c r="L2">
        <f>SUM(B2:J2)</f>
        <v>8022.581189999999</v>
      </c>
      <c r="M2">
        <f>D2/L2</f>
        <v>1.2618382737738304E-2</v>
      </c>
      <c r="N2">
        <f>H2/L2</f>
        <v>0.38402976885298434</v>
      </c>
    </row>
    <row r="3" spans="1:14" x14ac:dyDescent="0.2">
      <c r="A3">
        <v>456</v>
      </c>
      <c r="B3">
        <v>7.3393499999999996</v>
      </c>
      <c r="C3">
        <v>43.747500000000002</v>
      </c>
      <c r="D3">
        <v>112.82599999999999</v>
      </c>
      <c r="E3">
        <v>4675.58</v>
      </c>
      <c r="F3">
        <v>35.046100000000003</v>
      </c>
      <c r="G3">
        <v>25.8019</v>
      </c>
      <c r="H3">
        <v>3033.3</v>
      </c>
      <c r="I3">
        <v>16.873899999999999</v>
      </c>
      <c r="L3">
        <f t="shared" ref="L3:L65" si="0">SUM(B3:J3)</f>
        <v>7950.5147499999994</v>
      </c>
      <c r="M3">
        <f t="shared" ref="M3:M21" si="1">D3/L3</f>
        <v>1.4191030838600734E-2</v>
      </c>
      <c r="N3">
        <f t="shared" ref="N3:N21" si="2">H3/L3</f>
        <v>0.38152246683147156</v>
      </c>
    </row>
    <row r="4" spans="1:14" x14ac:dyDescent="0.2">
      <c r="A4">
        <v>548</v>
      </c>
      <c r="B4">
        <v>12.9047</v>
      </c>
      <c r="C4">
        <v>42.650100000000002</v>
      </c>
      <c r="D4">
        <v>122.804</v>
      </c>
      <c r="E4">
        <v>4633.76</v>
      </c>
      <c r="F4">
        <v>42.619500000000002</v>
      </c>
      <c r="G4">
        <v>26.920400000000001</v>
      </c>
      <c r="H4">
        <v>3031.99</v>
      </c>
      <c r="I4">
        <v>21.129000000000001</v>
      </c>
      <c r="L4">
        <f t="shared" si="0"/>
        <v>7934.7776999999996</v>
      </c>
      <c r="M4">
        <f t="shared" si="1"/>
        <v>1.5476678067490158E-2</v>
      </c>
      <c r="N4">
        <f t="shared" si="2"/>
        <v>0.38211404460644183</v>
      </c>
    </row>
    <row r="5" spans="1:14" x14ac:dyDescent="0.2">
      <c r="A5">
        <v>640</v>
      </c>
      <c r="B5">
        <v>14.7706</v>
      </c>
      <c r="C5">
        <v>39.979399999999998</v>
      </c>
      <c r="D5">
        <v>134.58000000000001</v>
      </c>
      <c r="E5">
        <v>4626.87</v>
      </c>
      <c r="F5">
        <v>42.0261</v>
      </c>
      <c r="G5">
        <v>27.370200000000001</v>
      </c>
      <c r="H5">
        <v>3024.5</v>
      </c>
      <c r="I5">
        <v>25.669899999999998</v>
      </c>
      <c r="L5">
        <f t="shared" si="0"/>
        <v>7935.7662</v>
      </c>
      <c r="M5">
        <f t="shared" si="1"/>
        <v>1.6958664936474566E-2</v>
      </c>
      <c r="N5">
        <f t="shared" si="2"/>
        <v>0.38112261926264912</v>
      </c>
    </row>
    <row r="6" spans="1:14" x14ac:dyDescent="0.2">
      <c r="A6">
        <v>732</v>
      </c>
      <c r="B6">
        <v>20.9985</v>
      </c>
      <c r="C6">
        <v>41.661099999999998</v>
      </c>
      <c r="D6">
        <v>147.66900000000001</v>
      </c>
      <c r="E6">
        <v>4681.43</v>
      </c>
      <c r="F6">
        <v>43.445099999999996</v>
      </c>
      <c r="G6">
        <v>27.528199999999998</v>
      </c>
      <c r="H6">
        <v>3043.91</v>
      </c>
      <c r="I6">
        <v>26.16</v>
      </c>
      <c r="L6">
        <f t="shared" si="0"/>
        <v>8032.8018999999995</v>
      </c>
      <c r="M6">
        <f t="shared" si="1"/>
        <v>1.8383249311799913E-2</v>
      </c>
      <c r="N6">
        <f t="shared" si="2"/>
        <v>0.37893502639471294</v>
      </c>
    </row>
    <row r="7" spans="1:14" x14ac:dyDescent="0.2">
      <c r="A7">
        <v>824</v>
      </c>
      <c r="B7">
        <v>14.116899999999999</v>
      </c>
      <c r="C7">
        <v>27.1023</v>
      </c>
      <c r="D7">
        <v>149.16499999999999</v>
      </c>
      <c r="E7">
        <v>4599.2299999999996</v>
      </c>
      <c r="F7">
        <v>44.603299999999997</v>
      </c>
      <c r="G7">
        <v>20.1541</v>
      </c>
      <c r="H7">
        <v>3003.48</v>
      </c>
      <c r="I7">
        <v>25.800799999999999</v>
      </c>
      <c r="L7">
        <f t="shared" si="0"/>
        <v>7883.6523999999999</v>
      </c>
      <c r="M7">
        <f t="shared" si="1"/>
        <v>1.8920798689703772E-2</v>
      </c>
      <c r="N7">
        <f t="shared" si="2"/>
        <v>0.3809757010595749</v>
      </c>
    </row>
    <row r="8" spans="1:14" x14ac:dyDescent="0.2">
      <c r="A8">
        <v>916</v>
      </c>
      <c r="B8">
        <v>18.278099999999998</v>
      </c>
      <c r="C8">
        <v>42.9649</v>
      </c>
      <c r="D8">
        <v>160.25</v>
      </c>
      <c r="E8">
        <v>4630.7299999999996</v>
      </c>
      <c r="F8">
        <v>45.793199999999999</v>
      </c>
      <c r="G8">
        <v>25.274799999999999</v>
      </c>
      <c r="H8">
        <v>3070.21</v>
      </c>
      <c r="I8">
        <v>10.302899999999999</v>
      </c>
      <c r="L8">
        <f t="shared" si="0"/>
        <v>8003.8038999999999</v>
      </c>
      <c r="M8">
        <f t="shared" si="1"/>
        <v>2.0021729917695762E-2</v>
      </c>
      <c r="N8">
        <f t="shared" si="2"/>
        <v>0.38359385591643497</v>
      </c>
    </row>
    <row r="9" spans="1:14" x14ac:dyDescent="0.2">
      <c r="A9">
        <v>1008</v>
      </c>
      <c r="B9">
        <v>7.6945399999999999</v>
      </c>
      <c r="C9">
        <v>33.046199999999999</v>
      </c>
      <c r="D9">
        <v>170.16800000000001</v>
      </c>
      <c r="E9">
        <v>4664.75</v>
      </c>
      <c r="F9">
        <v>41.387099999999997</v>
      </c>
      <c r="G9">
        <v>24.926300000000001</v>
      </c>
      <c r="H9">
        <v>3046.64</v>
      </c>
      <c r="I9">
        <v>15.8391</v>
      </c>
      <c r="L9">
        <f t="shared" si="0"/>
        <v>8004.4512399999994</v>
      </c>
      <c r="M9">
        <f t="shared" si="1"/>
        <v>2.1259171290797945E-2</v>
      </c>
      <c r="N9">
        <f t="shared" si="2"/>
        <v>0.38061822211812235</v>
      </c>
    </row>
    <row r="10" spans="1:14" x14ac:dyDescent="0.2">
      <c r="A10">
        <v>1099</v>
      </c>
      <c r="B10">
        <v>16.5581</v>
      </c>
      <c r="C10">
        <v>48.084800000000001</v>
      </c>
      <c r="D10">
        <v>179.15799999999999</v>
      </c>
      <c r="E10">
        <v>4632.5600000000004</v>
      </c>
      <c r="F10">
        <v>54.36</v>
      </c>
      <c r="G10">
        <v>26.018699999999999</v>
      </c>
      <c r="H10">
        <v>3008.3</v>
      </c>
      <c r="I10">
        <v>33.755299999999998</v>
      </c>
      <c r="L10">
        <f t="shared" si="0"/>
        <v>7998.7948999999999</v>
      </c>
      <c r="M10">
        <f t="shared" si="1"/>
        <v>2.2398123997403659E-2</v>
      </c>
      <c r="N10">
        <f t="shared" si="2"/>
        <v>0.37609415388310558</v>
      </c>
    </row>
    <row r="11" spans="1:14" x14ac:dyDescent="0.2">
      <c r="A11">
        <v>1191</v>
      </c>
      <c r="B11">
        <v>10.021599999999999</v>
      </c>
      <c r="C11">
        <v>49.899900000000002</v>
      </c>
      <c r="D11">
        <v>185.63200000000001</v>
      </c>
      <c r="E11">
        <v>4633.8999999999996</v>
      </c>
      <c r="F11">
        <v>53.159599999999998</v>
      </c>
      <c r="G11">
        <v>33.143500000000003</v>
      </c>
      <c r="H11">
        <v>2978.5</v>
      </c>
      <c r="I11">
        <v>23.490200000000002</v>
      </c>
      <c r="L11">
        <f t="shared" si="0"/>
        <v>7967.7467999999999</v>
      </c>
      <c r="M11">
        <f t="shared" si="1"/>
        <v>2.3297929095839241E-2</v>
      </c>
      <c r="N11">
        <f t="shared" si="2"/>
        <v>0.37381960982997103</v>
      </c>
    </row>
    <row r="12" spans="1:14" x14ac:dyDescent="0.2">
      <c r="A12">
        <v>1283</v>
      </c>
      <c r="B12">
        <v>9.3728999999999996</v>
      </c>
      <c r="C12">
        <v>48.532499999999999</v>
      </c>
      <c r="D12">
        <v>175.14699999999999</v>
      </c>
      <c r="E12">
        <v>4615.03</v>
      </c>
      <c r="F12">
        <v>50.447099999999999</v>
      </c>
      <c r="G12">
        <v>20.341699999999999</v>
      </c>
      <c r="H12">
        <v>3064.14</v>
      </c>
      <c r="I12">
        <v>24.202300000000001</v>
      </c>
      <c r="L12">
        <f t="shared" si="0"/>
        <v>8007.2134999999989</v>
      </c>
      <c r="M12">
        <f t="shared" si="1"/>
        <v>2.1873651801591155E-2</v>
      </c>
      <c r="N12">
        <f t="shared" si="2"/>
        <v>0.38267244903610981</v>
      </c>
    </row>
    <row r="13" spans="1:14" x14ac:dyDescent="0.2">
      <c r="A13">
        <v>1375</v>
      </c>
      <c r="B13">
        <v>17.778500000000001</v>
      </c>
      <c r="C13">
        <v>41.529699999999998</v>
      </c>
      <c r="D13">
        <v>181.756</v>
      </c>
      <c r="E13">
        <v>4632.6899999999996</v>
      </c>
      <c r="F13">
        <v>62.074199999999998</v>
      </c>
      <c r="G13">
        <v>22.653500000000001</v>
      </c>
      <c r="H13">
        <v>3002</v>
      </c>
      <c r="I13">
        <v>22.806799999999999</v>
      </c>
      <c r="L13">
        <f t="shared" si="0"/>
        <v>7983.2887000000001</v>
      </c>
      <c r="M13">
        <f t="shared" si="1"/>
        <v>2.2767058392865084E-2</v>
      </c>
      <c r="N13">
        <f t="shared" si="2"/>
        <v>0.37603550526739687</v>
      </c>
    </row>
    <row r="14" spans="1:14" x14ac:dyDescent="0.2">
      <c r="A14">
        <v>1467</v>
      </c>
      <c r="B14">
        <v>17.2986</v>
      </c>
      <c r="C14">
        <v>38.594099999999997</v>
      </c>
      <c r="D14">
        <v>184.10300000000001</v>
      </c>
      <c r="E14">
        <v>4650.76</v>
      </c>
      <c r="F14">
        <v>54.150399999999998</v>
      </c>
      <c r="G14">
        <v>17.119299999999999</v>
      </c>
      <c r="H14">
        <v>2971.46</v>
      </c>
      <c r="I14">
        <v>19.0855</v>
      </c>
      <c r="L14">
        <f t="shared" si="0"/>
        <v>7952.5709000000015</v>
      </c>
      <c r="M14">
        <f t="shared" si="1"/>
        <v>2.3150123691446745E-2</v>
      </c>
      <c r="N14">
        <f t="shared" si="2"/>
        <v>0.37364772189582107</v>
      </c>
    </row>
    <row r="15" spans="1:14" x14ac:dyDescent="0.2">
      <c r="A15">
        <v>1559</v>
      </c>
      <c r="B15">
        <v>6.8058399999999999</v>
      </c>
      <c r="C15">
        <v>44.310099999999998</v>
      </c>
      <c r="D15">
        <v>185.62899999999999</v>
      </c>
      <c r="E15">
        <v>4683.33</v>
      </c>
      <c r="F15">
        <v>45.704900000000002</v>
      </c>
      <c r="G15">
        <v>27.950299999999999</v>
      </c>
      <c r="H15">
        <v>3000.34</v>
      </c>
      <c r="I15">
        <v>25.960999999999999</v>
      </c>
      <c r="L15">
        <f t="shared" si="0"/>
        <v>8020.0311400000001</v>
      </c>
      <c r="M15">
        <f t="shared" si="1"/>
        <v>2.314567072865505E-2</v>
      </c>
      <c r="N15">
        <f t="shared" si="2"/>
        <v>0.3741057793448917</v>
      </c>
    </row>
    <row r="16" spans="1:14" x14ac:dyDescent="0.2">
      <c r="A16">
        <v>1650</v>
      </c>
      <c r="B16">
        <v>18.589500000000001</v>
      </c>
      <c r="C16">
        <v>28.127500000000001</v>
      </c>
      <c r="D16">
        <v>170.94</v>
      </c>
      <c r="E16">
        <v>4597.2299999999996</v>
      </c>
      <c r="F16">
        <v>41.556899999999999</v>
      </c>
      <c r="G16">
        <v>25.4344</v>
      </c>
      <c r="H16">
        <v>3039.44</v>
      </c>
      <c r="I16">
        <v>27.893000000000001</v>
      </c>
      <c r="L16">
        <f t="shared" si="0"/>
        <v>7949.211299999999</v>
      </c>
      <c r="M16">
        <f t="shared" si="1"/>
        <v>2.1504020153546556E-2</v>
      </c>
      <c r="N16">
        <f t="shared" si="2"/>
        <v>0.38235742959807856</v>
      </c>
    </row>
    <row r="17" spans="1:14" x14ac:dyDescent="0.2">
      <c r="A17">
        <v>1742</v>
      </c>
      <c r="B17">
        <v>20.608899999999998</v>
      </c>
      <c r="C17">
        <v>39.825800000000001</v>
      </c>
      <c r="D17">
        <v>180.49600000000001</v>
      </c>
      <c r="E17">
        <v>4615.49</v>
      </c>
      <c r="F17">
        <v>56.014099999999999</v>
      </c>
      <c r="G17">
        <v>22.742599999999999</v>
      </c>
      <c r="H17">
        <v>2994.7</v>
      </c>
      <c r="I17">
        <v>18.006399999999999</v>
      </c>
      <c r="L17">
        <f t="shared" si="0"/>
        <v>7947.8837999999996</v>
      </c>
      <c r="M17">
        <f t="shared" si="1"/>
        <v>2.2709944501201694E-2</v>
      </c>
      <c r="N17">
        <f t="shared" si="2"/>
        <v>0.37679212169659548</v>
      </c>
    </row>
    <row r="18" spans="1:14" x14ac:dyDescent="0.2">
      <c r="A18">
        <v>1834</v>
      </c>
      <c r="B18">
        <v>17.362200000000001</v>
      </c>
      <c r="C18">
        <v>44.487000000000002</v>
      </c>
      <c r="D18">
        <v>179.898</v>
      </c>
      <c r="E18">
        <v>4665.47</v>
      </c>
      <c r="F18">
        <v>46.830800000000004</v>
      </c>
      <c r="G18">
        <v>27.093800000000002</v>
      </c>
      <c r="H18">
        <v>3030.03</v>
      </c>
      <c r="I18">
        <v>20.4375</v>
      </c>
      <c r="L18">
        <f t="shared" si="0"/>
        <v>8031.6093000000001</v>
      </c>
      <c r="M18">
        <f t="shared" si="1"/>
        <v>2.2398748903286417E-2</v>
      </c>
      <c r="N18">
        <f t="shared" si="2"/>
        <v>0.37726312209932822</v>
      </c>
    </row>
    <row r="19" spans="1:14" x14ac:dyDescent="0.2">
      <c r="A19">
        <v>1926</v>
      </c>
      <c r="B19">
        <v>10.075900000000001</v>
      </c>
      <c r="C19">
        <v>43.589199999999998</v>
      </c>
      <c r="D19">
        <v>178.34700000000001</v>
      </c>
      <c r="E19">
        <v>4607.42</v>
      </c>
      <c r="F19">
        <v>41.755600000000001</v>
      </c>
      <c r="G19">
        <v>30.653199999999998</v>
      </c>
      <c r="H19">
        <v>2964.99</v>
      </c>
      <c r="I19">
        <v>16.488099999999999</v>
      </c>
      <c r="L19">
        <f t="shared" si="0"/>
        <v>7893.3189999999995</v>
      </c>
      <c r="M19">
        <f t="shared" si="1"/>
        <v>2.2594677853511307E-2</v>
      </c>
      <c r="N19">
        <f t="shared" si="2"/>
        <v>0.37563286115764483</v>
      </c>
    </row>
    <row r="20" spans="1:14" x14ac:dyDescent="0.2">
      <c r="A20">
        <v>2018</v>
      </c>
      <c r="B20">
        <v>16.977799999999998</v>
      </c>
      <c r="C20">
        <v>41.642699999999998</v>
      </c>
      <c r="D20">
        <v>173.69900000000001</v>
      </c>
      <c r="E20">
        <v>4616.87</v>
      </c>
      <c r="F20">
        <v>52.261000000000003</v>
      </c>
      <c r="G20">
        <v>25.012799999999999</v>
      </c>
      <c r="H20">
        <v>2980.55</v>
      </c>
      <c r="I20">
        <v>24.1219</v>
      </c>
      <c r="L20">
        <f t="shared" si="0"/>
        <v>7931.1352000000006</v>
      </c>
      <c r="M20">
        <f t="shared" si="1"/>
        <v>2.1900900138482067E-2</v>
      </c>
      <c r="N20">
        <f t="shared" si="2"/>
        <v>0.3758037058805907</v>
      </c>
    </row>
    <row r="21" spans="1:14" x14ac:dyDescent="0.2">
      <c r="A21">
        <v>2110</v>
      </c>
      <c r="B21">
        <v>21.554500000000001</v>
      </c>
      <c r="C21">
        <v>41.017000000000003</v>
      </c>
      <c r="D21">
        <v>172.501</v>
      </c>
      <c r="E21">
        <v>4671.5200000000004</v>
      </c>
      <c r="F21">
        <v>49.5976</v>
      </c>
      <c r="G21">
        <v>32.416899999999998</v>
      </c>
      <c r="H21">
        <v>2928.07</v>
      </c>
      <c r="I21">
        <v>34.388199999999998</v>
      </c>
      <c r="L21">
        <f t="shared" si="0"/>
        <v>7951.0652000000018</v>
      </c>
      <c r="M21">
        <f t="shared" si="1"/>
        <v>2.1695332092107604E-2</v>
      </c>
      <c r="N21">
        <f t="shared" si="2"/>
        <v>0.36826134943529321</v>
      </c>
    </row>
    <row r="23" spans="1:14" x14ac:dyDescent="0.2">
      <c r="A23" t="s">
        <v>0</v>
      </c>
      <c r="B23" t="s">
        <v>89</v>
      </c>
      <c r="C23" t="s">
        <v>90</v>
      </c>
      <c r="D23" t="s">
        <v>91</v>
      </c>
      <c r="E23" t="s">
        <v>92</v>
      </c>
      <c r="M23" t="s">
        <v>96</v>
      </c>
    </row>
    <row r="24" spans="1:14" x14ac:dyDescent="0.2">
      <c r="A24">
        <v>365</v>
      </c>
      <c r="B24">
        <v>72.986800000000002</v>
      </c>
      <c r="C24">
        <v>4792.2299999999996</v>
      </c>
      <c r="D24">
        <v>10.7532</v>
      </c>
      <c r="E24">
        <v>9.6614100000000001</v>
      </c>
      <c r="L24">
        <f t="shared" si="0"/>
        <v>4885.6314099999991</v>
      </c>
      <c r="M24">
        <f>C24/L24</f>
        <v>0.98088242805037973</v>
      </c>
    </row>
    <row r="25" spans="1:14" x14ac:dyDescent="0.2">
      <c r="A25">
        <v>456</v>
      </c>
      <c r="B25">
        <v>95.663399999999996</v>
      </c>
      <c r="C25">
        <v>4802.1099999999997</v>
      </c>
      <c r="D25">
        <v>0.33600400000000002</v>
      </c>
      <c r="E25">
        <v>16.701899999999998</v>
      </c>
      <c r="L25">
        <f t="shared" si="0"/>
        <v>4914.8113039999998</v>
      </c>
      <c r="M25">
        <f t="shared" ref="M25:M43" si="3">C25/L25</f>
        <v>0.97706904761363345</v>
      </c>
    </row>
    <row r="26" spans="1:14" x14ac:dyDescent="0.2">
      <c r="A26">
        <v>548</v>
      </c>
      <c r="B26">
        <v>125.485</v>
      </c>
      <c r="C26">
        <v>4752.0600000000004</v>
      </c>
      <c r="D26">
        <v>9.7768899999999999</v>
      </c>
      <c r="E26">
        <v>17.4741</v>
      </c>
      <c r="L26">
        <f t="shared" si="0"/>
        <v>4904.7959900000005</v>
      </c>
      <c r="M26">
        <f t="shared" si="3"/>
        <v>0.96885986893004283</v>
      </c>
    </row>
    <row r="27" spans="1:14" x14ac:dyDescent="0.2">
      <c r="A27">
        <v>640</v>
      </c>
      <c r="B27">
        <v>146.83699999999999</v>
      </c>
      <c r="C27">
        <v>4724.37</v>
      </c>
      <c r="D27">
        <v>10.0709</v>
      </c>
      <c r="E27">
        <v>16.5291</v>
      </c>
      <c r="L27">
        <f t="shared" si="0"/>
        <v>4897.8069999999998</v>
      </c>
      <c r="M27">
        <f t="shared" si="3"/>
        <v>0.96458884557925617</v>
      </c>
    </row>
    <row r="28" spans="1:14" x14ac:dyDescent="0.2">
      <c r="A28">
        <v>732</v>
      </c>
      <c r="B28">
        <v>135.321</v>
      </c>
      <c r="C28">
        <v>4708.49</v>
      </c>
      <c r="D28">
        <v>7.8703500000000002</v>
      </c>
      <c r="E28">
        <v>18.0899</v>
      </c>
      <c r="L28">
        <f t="shared" si="0"/>
        <v>4869.7712499999998</v>
      </c>
      <c r="M28">
        <f t="shared" si="3"/>
        <v>0.96688114457121577</v>
      </c>
    </row>
    <row r="29" spans="1:14" x14ac:dyDescent="0.2">
      <c r="A29">
        <v>824</v>
      </c>
      <c r="B29">
        <v>131.35300000000001</v>
      </c>
      <c r="C29">
        <v>4670.57</v>
      </c>
      <c r="D29">
        <v>4.4474099999999996</v>
      </c>
      <c r="E29">
        <v>5.0461600000000004</v>
      </c>
      <c r="L29">
        <f t="shared" si="0"/>
        <v>4811.4165699999994</v>
      </c>
      <c r="M29">
        <f t="shared" si="3"/>
        <v>0.97072658998636663</v>
      </c>
    </row>
    <row r="30" spans="1:14" x14ac:dyDescent="0.2">
      <c r="A30">
        <v>916</v>
      </c>
      <c r="B30">
        <v>168.84299999999999</v>
      </c>
      <c r="C30">
        <v>4712.29</v>
      </c>
      <c r="D30">
        <v>10.105499999999999</v>
      </c>
      <c r="E30">
        <v>18.646100000000001</v>
      </c>
      <c r="L30">
        <f t="shared" si="0"/>
        <v>4909.8845999999994</v>
      </c>
      <c r="M30">
        <f t="shared" si="3"/>
        <v>0.95975575474828889</v>
      </c>
    </row>
    <row r="31" spans="1:14" x14ac:dyDescent="0.2">
      <c r="A31">
        <v>1008</v>
      </c>
      <c r="B31">
        <v>126.35</v>
      </c>
      <c r="C31">
        <v>4675.67</v>
      </c>
      <c r="D31">
        <v>11.823499999999999</v>
      </c>
      <c r="E31">
        <v>14.341900000000001</v>
      </c>
      <c r="L31">
        <f t="shared" si="0"/>
        <v>4828.1854000000012</v>
      </c>
      <c r="M31">
        <f t="shared" si="3"/>
        <v>0.96841144501203269</v>
      </c>
    </row>
    <row r="32" spans="1:14" x14ac:dyDescent="0.2">
      <c r="A32">
        <v>1099</v>
      </c>
      <c r="B32">
        <v>158.768</v>
      </c>
      <c r="C32">
        <v>4673.76</v>
      </c>
      <c r="D32">
        <v>8.5921599999999998</v>
      </c>
      <c r="E32">
        <v>16.895399999999999</v>
      </c>
      <c r="L32">
        <f t="shared" si="0"/>
        <v>4858.0155600000007</v>
      </c>
      <c r="M32">
        <f t="shared" si="3"/>
        <v>0.96207184647222488</v>
      </c>
    </row>
    <row r="33" spans="1:13" x14ac:dyDescent="0.2">
      <c r="A33">
        <v>1191</v>
      </c>
      <c r="B33">
        <v>136.33099999999999</v>
      </c>
      <c r="C33">
        <v>4658.26</v>
      </c>
      <c r="D33">
        <v>4.3307000000000002</v>
      </c>
      <c r="E33">
        <v>12.217499999999999</v>
      </c>
      <c r="L33">
        <f t="shared" si="0"/>
        <v>4811.1392000000005</v>
      </c>
      <c r="M33">
        <f t="shared" si="3"/>
        <v>0.96822390838327843</v>
      </c>
    </row>
    <row r="34" spans="1:13" x14ac:dyDescent="0.2">
      <c r="A34">
        <v>1283</v>
      </c>
      <c r="B34">
        <v>176.45400000000001</v>
      </c>
      <c r="C34">
        <v>4709.43</v>
      </c>
      <c r="D34">
        <v>0.84430000000000005</v>
      </c>
      <c r="E34">
        <v>13.107699999999999</v>
      </c>
      <c r="L34">
        <f t="shared" si="0"/>
        <v>4899.8359999999993</v>
      </c>
      <c r="M34">
        <f t="shared" si="3"/>
        <v>0.96114033204376659</v>
      </c>
    </row>
    <row r="35" spans="1:13" x14ac:dyDescent="0.2">
      <c r="A35">
        <v>1375</v>
      </c>
      <c r="B35">
        <v>162.523</v>
      </c>
      <c r="C35">
        <v>4706.9799999999996</v>
      </c>
      <c r="D35">
        <v>5.1928799999999997</v>
      </c>
      <c r="E35">
        <v>11.412800000000001</v>
      </c>
      <c r="L35">
        <f t="shared" si="0"/>
        <v>4886.1086799999994</v>
      </c>
      <c r="M35">
        <f t="shared" si="3"/>
        <v>0.96333919449372551</v>
      </c>
    </row>
    <row r="36" spans="1:13" x14ac:dyDescent="0.2">
      <c r="A36">
        <v>1467</v>
      </c>
      <c r="B36">
        <v>151.92599999999999</v>
      </c>
      <c r="C36">
        <v>4649.82</v>
      </c>
      <c r="D36">
        <v>7.9084099999999999</v>
      </c>
      <c r="E36">
        <v>19.060400000000001</v>
      </c>
      <c r="L36">
        <f t="shared" si="0"/>
        <v>4828.7148100000004</v>
      </c>
      <c r="M36">
        <f t="shared" si="3"/>
        <v>0.96295187911501434</v>
      </c>
    </row>
    <row r="37" spans="1:13" x14ac:dyDescent="0.2">
      <c r="A37">
        <v>1559</v>
      </c>
      <c r="B37">
        <v>130.80500000000001</v>
      </c>
      <c r="C37">
        <v>4646.3</v>
      </c>
      <c r="D37">
        <v>17.258800000000001</v>
      </c>
      <c r="E37">
        <v>14.2684</v>
      </c>
      <c r="L37">
        <f t="shared" si="0"/>
        <v>4808.6322</v>
      </c>
      <c r="M37">
        <f t="shared" si="3"/>
        <v>0.96624150210531801</v>
      </c>
    </row>
    <row r="38" spans="1:13" x14ac:dyDescent="0.2">
      <c r="A38">
        <v>1650</v>
      </c>
      <c r="B38">
        <v>156.148</v>
      </c>
      <c r="C38">
        <v>4658.13</v>
      </c>
      <c r="D38">
        <v>21.807099999999998</v>
      </c>
      <c r="E38">
        <v>16.885200000000001</v>
      </c>
      <c r="L38">
        <f t="shared" si="0"/>
        <v>4852.9703</v>
      </c>
      <c r="M38">
        <f t="shared" si="3"/>
        <v>0.95985133063765093</v>
      </c>
    </row>
    <row r="39" spans="1:13" x14ac:dyDescent="0.2">
      <c r="A39">
        <v>1742</v>
      </c>
      <c r="B39">
        <v>220.34399999999999</v>
      </c>
      <c r="C39">
        <v>4660.1499999999996</v>
      </c>
      <c r="D39">
        <v>14.663500000000001</v>
      </c>
      <c r="E39">
        <v>9.6589799999999997</v>
      </c>
      <c r="L39">
        <f t="shared" si="0"/>
        <v>4904.8164799999995</v>
      </c>
      <c r="M39">
        <f t="shared" si="3"/>
        <v>0.95011709795918808</v>
      </c>
    </row>
    <row r="40" spans="1:13" x14ac:dyDescent="0.2">
      <c r="A40">
        <v>1834</v>
      </c>
      <c r="B40">
        <v>145.482</v>
      </c>
      <c r="C40">
        <v>4694.16</v>
      </c>
      <c r="D40">
        <v>8.9926999999999992</v>
      </c>
      <c r="E40">
        <v>8.5692799999999991</v>
      </c>
      <c r="L40">
        <f t="shared" si="0"/>
        <v>4857.2039799999993</v>
      </c>
      <c r="M40">
        <f t="shared" si="3"/>
        <v>0.96643254418151914</v>
      </c>
    </row>
    <row r="41" spans="1:13" x14ac:dyDescent="0.2">
      <c r="A41">
        <v>1926</v>
      </c>
      <c r="B41">
        <v>166.48699999999999</v>
      </c>
      <c r="C41">
        <v>4663.3</v>
      </c>
      <c r="D41">
        <v>17.546900000000001</v>
      </c>
      <c r="E41">
        <v>14.278700000000001</v>
      </c>
      <c r="L41">
        <f t="shared" si="0"/>
        <v>4861.6126000000004</v>
      </c>
      <c r="M41">
        <f t="shared" si="3"/>
        <v>0.95920847333660442</v>
      </c>
    </row>
    <row r="42" spans="1:13" x14ac:dyDescent="0.2">
      <c r="A42">
        <v>2018</v>
      </c>
      <c r="B42">
        <v>163.08600000000001</v>
      </c>
      <c r="C42">
        <v>4645</v>
      </c>
      <c r="D42">
        <v>11.7103</v>
      </c>
      <c r="E42">
        <v>18.922799999999999</v>
      </c>
      <c r="L42">
        <f t="shared" si="0"/>
        <v>4838.7191000000003</v>
      </c>
      <c r="M42">
        <f t="shared" si="3"/>
        <v>0.959964797295218</v>
      </c>
    </row>
    <row r="43" spans="1:13" x14ac:dyDescent="0.2">
      <c r="A43">
        <v>2110</v>
      </c>
      <c r="B43">
        <v>284.334</v>
      </c>
      <c r="C43">
        <v>4699.03</v>
      </c>
      <c r="D43">
        <v>5.7834300000000001</v>
      </c>
      <c r="E43">
        <v>14.553800000000001</v>
      </c>
      <c r="L43">
        <f t="shared" si="0"/>
        <v>5003.7012299999997</v>
      </c>
      <c r="M43">
        <f t="shared" si="3"/>
        <v>0.93911082696678116</v>
      </c>
    </row>
    <row r="45" spans="1:13" x14ac:dyDescent="0.2">
      <c r="A45" t="s">
        <v>0</v>
      </c>
      <c r="B45" t="s">
        <v>80</v>
      </c>
    </row>
    <row r="46" spans="1:13" x14ac:dyDescent="0.2">
      <c r="A46">
        <v>365</v>
      </c>
      <c r="B46">
        <v>22665.4</v>
      </c>
      <c r="L46">
        <f t="shared" si="0"/>
        <v>22665.4</v>
      </c>
    </row>
    <row r="47" spans="1:13" x14ac:dyDescent="0.2">
      <c r="A47">
        <v>456</v>
      </c>
      <c r="B47">
        <v>17932.5</v>
      </c>
      <c r="L47">
        <f t="shared" si="0"/>
        <v>17932.5</v>
      </c>
    </row>
    <row r="48" spans="1:13" x14ac:dyDescent="0.2">
      <c r="A48">
        <v>548</v>
      </c>
      <c r="B48">
        <v>13930.7</v>
      </c>
      <c r="L48">
        <f t="shared" si="0"/>
        <v>13930.7</v>
      </c>
    </row>
    <row r="49" spans="1:12" x14ac:dyDescent="0.2">
      <c r="A49">
        <v>640</v>
      </c>
      <c r="B49">
        <v>11126.1</v>
      </c>
      <c r="L49">
        <f t="shared" si="0"/>
        <v>11126.1</v>
      </c>
    </row>
    <row r="50" spans="1:12" x14ac:dyDescent="0.2">
      <c r="A50">
        <v>732</v>
      </c>
      <c r="B50">
        <v>8914.91</v>
      </c>
      <c r="L50">
        <f t="shared" si="0"/>
        <v>8914.91</v>
      </c>
    </row>
    <row r="51" spans="1:12" x14ac:dyDescent="0.2">
      <c r="A51">
        <v>824</v>
      </c>
      <c r="B51">
        <v>7001.71</v>
      </c>
      <c r="L51">
        <f t="shared" si="0"/>
        <v>7001.71</v>
      </c>
    </row>
    <row r="52" spans="1:12" x14ac:dyDescent="0.2">
      <c r="A52">
        <v>916</v>
      </c>
      <c r="B52">
        <v>5539.69</v>
      </c>
      <c r="L52">
        <f t="shared" si="0"/>
        <v>5539.69</v>
      </c>
    </row>
    <row r="53" spans="1:12" x14ac:dyDescent="0.2">
      <c r="A53">
        <v>1008</v>
      </c>
      <c r="B53">
        <v>4346.57</v>
      </c>
      <c r="L53">
        <f t="shared" si="0"/>
        <v>4346.57</v>
      </c>
    </row>
    <row r="54" spans="1:12" x14ac:dyDescent="0.2">
      <c r="A54">
        <v>1099</v>
      </c>
      <c r="B54">
        <v>3532.08</v>
      </c>
      <c r="L54">
        <f t="shared" si="0"/>
        <v>3532.08</v>
      </c>
    </row>
    <row r="55" spans="1:12" x14ac:dyDescent="0.2">
      <c r="A55">
        <v>1191</v>
      </c>
      <c r="B55">
        <v>2669.37</v>
      </c>
      <c r="L55">
        <f t="shared" si="0"/>
        <v>2669.37</v>
      </c>
    </row>
    <row r="56" spans="1:12" x14ac:dyDescent="0.2">
      <c r="A56">
        <v>1283</v>
      </c>
      <c r="B56">
        <v>2152.77</v>
      </c>
      <c r="L56">
        <f t="shared" si="0"/>
        <v>2152.77</v>
      </c>
    </row>
    <row r="57" spans="1:12" x14ac:dyDescent="0.2">
      <c r="A57">
        <v>1375</v>
      </c>
      <c r="B57">
        <v>1648.67</v>
      </c>
      <c r="L57">
        <f t="shared" si="0"/>
        <v>1648.67</v>
      </c>
    </row>
    <row r="58" spans="1:12" x14ac:dyDescent="0.2">
      <c r="A58">
        <v>1467</v>
      </c>
      <c r="B58">
        <v>1296.8599999999999</v>
      </c>
      <c r="L58">
        <f t="shared" si="0"/>
        <v>1296.8599999999999</v>
      </c>
    </row>
    <row r="59" spans="1:12" x14ac:dyDescent="0.2">
      <c r="A59">
        <v>1559</v>
      </c>
      <c r="B59">
        <v>1075.2</v>
      </c>
      <c r="L59">
        <f t="shared" si="0"/>
        <v>1075.2</v>
      </c>
    </row>
    <row r="60" spans="1:12" x14ac:dyDescent="0.2">
      <c r="A60">
        <v>1650</v>
      </c>
      <c r="B60">
        <v>813.65800000000002</v>
      </c>
      <c r="L60">
        <f t="shared" si="0"/>
        <v>813.65800000000002</v>
      </c>
    </row>
    <row r="61" spans="1:12" x14ac:dyDescent="0.2">
      <c r="A61">
        <v>1742</v>
      </c>
      <c r="B61">
        <v>654.12400000000002</v>
      </c>
      <c r="L61">
        <f t="shared" si="0"/>
        <v>654.12400000000002</v>
      </c>
    </row>
    <row r="62" spans="1:12" x14ac:dyDescent="0.2">
      <c r="A62">
        <v>1834</v>
      </c>
      <c r="B62">
        <v>554.75099999999998</v>
      </c>
      <c r="L62">
        <f t="shared" si="0"/>
        <v>554.75099999999998</v>
      </c>
    </row>
    <row r="63" spans="1:12" x14ac:dyDescent="0.2">
      <c r="A63">
        <v>1926</v>
      </c>
      <c r="B63">
        <v>379.73200000000003</v>
      </c>
      <c r="L63">
        <f t="shared" si="0"/>
        <v>379.73200000000003</v>
      </c>
    </row>
    <row r="64" spans="1:12" x14ac:dyDescent="0.2">
      <c r="A64">
        <v>2018</v>
      </c>
      <c r="B64">
        <v>322.90499999999997</v>
      </c>
      <c r="L64">
        <f t="shared" si="0"/>
        <v>322.90499999999997</v>
      </c>
    </row>
    <row r="65" spans="1:12" x14ac:dyDescent="0.2">
      <c r="A65">
        <v>2110</v>
      </c>
      <c r="B65">
        <v>228.005</v>
      </c>
      <c r="L65">
        <f t="shared" si="0"/>
        <v>228.005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all_6ppm</vt:lpstr>
      <vt:lpstr>all_8ppm</vt:lpstr>
      <vt:lpstr>20_1</vt:lpstr>
      <vt:lpstr>37_1</vt:lpstr>
      <vt:lpstr>37_2</vt:lpstr>
      <vt:lpstr>42_1</vt:lpstr>
      <vt:lpstr>42_2</vt:lpstr>
      <vt:lpstr>48_1</vt:lpstr>
      <vt:lpstr>48_2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2024-04-24T00:32:07Z</dcterms:created>
  <dcterms:modified xsi:type="dcterms:W3CDTF">2024-04-27T20:08:36Z</dcterms:modified>
</cp:coreProperties>
</file>